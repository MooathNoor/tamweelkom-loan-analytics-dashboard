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adhn\Downloads\"/>
    </mc:Choice>
  </mc:AlternateContent>
  <xr:revisionPtr revIDLastSave="0" documentId="8_{F8FFE830-D437-4283-B852-BFD9FC885235}" xr6:coauthVersionLast="47" xr6:coauthVersionMax="47" xr10:uidLastSave="{00000000-0000-0000-0000-000000000000}"/>
  <bookViews>
    <workbookView xWindow="-110" yWindow="-110" windowWidth="19420" windowHeight="10300" firstSheet="5" activeTab="8" xr2:uid="{00000000-000D-0000-FFFF-FFFF00000000}"/>
  </bookViews>
  <sheets>
    <sheet name="Dashboard Summary" sheetId="1" r:id="rId1"/>
    <sheet name="Category&amp;Loan Amount" sheetId="5" r:id="rId2"/>
    <sheet name="repayment ratios of Categorys" sheetId="7" r:id="rId3"/>
    <sheet name="Total AVERAGE OF LOAN " sheetId="8" r:id="rId4"/>
    <sheet name="Sheet3" sheetId="9" r:id="rId5"/>
    <sheet name="Total funding for branch" sheetId="10" r:id="rId6"/>
    <sheet name="Raw Data" sheetId="2" r:id="rId7"/>
    <sheet name="QQ" sheetId="3" r:id="rId8"/>
    <sheet name="Dashboard" sheetId="4" r:id="rId9"/>
  </sheets>
  <definedNames>
    <definedName name="Slicer_Branch">#N/A</definedName>
    <definedName name="Slicer_Category1">#N/A</definedName>
    <definedName name="Slicer_Status">#N/A</definedName>
  </definedNames>
  <calcPr calcId="191029"/>
  <pivotCaches>
    <pivotCache cacheId="1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2" l="1"/>
  <c r="F12" i="2"/>
  <c r="N2" i="2"/>
  <c r="N3" i="2"/>
  <c r="N4" i="2"/>
  <c r="N5" i="2"/>
  <c r="N6" i="2"/>
  <c r="N7" i="2"/>
  <c r="N8" i="2"/>
  <c r="N9" i="2"/>
  <c r="N10" i="2"/>
  <c r="N11" i="2"/>
  <c r="H2" i="2"/>
  <c r="L2" i="2" s="1"/>
  <c r="M2" i="2" s="1"/>
  <c r="H3" i="2"/>
  <c r="L3" i="2" s="1"/>
  <c r="M3" i="2" s="1"/>
  <c r="H4" i="2"/>
  <c r="L4" i="2" s="1"/>
  <c r="M4" i="2" s="1"/>
  <c r="H5" i="2"/>
  <c r="L5" i="2" s="1"/>
  <c r="M5" i="2" s="1"/>
  <c r="H6" i="2"/>
  <c r="L6" i="2" s="1"/>
  <c r="M6" i="2" s="1"/>
  <c r="H7" i="2"/>
  <c r="L7" i="2" s="1"/>
  <c r="M7" i="2" s="1"/>
  <c r="H8" i="2"/>
  <c r="L8" i="2" s="1"/>
  <c r="M8" i="2" s="1"/>
  <c r="H9" i="2"/>
  <c r="L9" i="2" s="1"/>
  <c r="M9" i="2" s="1"/>
  <c r="H10" i="2"/>
  <c r="L10" i="2" s="1"/>
  <c r="M10" i="2" s="1"/>
  <c r="H11" i="2"/>
  <c r="L11" i="2" s="1"/>
  <c r="M11" i="2" s="1"/>
  <c r="I13" i="2"/>
  <c r="I12" i="2"/>
  <c r="K12" i="2"/>
  <c r="B17" i="1"/>
  <c r="B15" i="1"/>
  <c r="B14" i="1"/>
  <c r="B16" i="1"/>
  <c r="B13" i="1"/>
  <c r="B8" i="1"/>
  <c r="B7" i="1"/>
  <c r="B6" i="1"/>
  <c r="B5" i="1"/>
  <c r="L12" i="2" l="1"/>
</calcChain>
</file>

<file path=xl/sharedStrings.xml><?xml version="1.0" encoding="utf-8"?>
<sst xmlns="http://schemas.openxmlformats.org/spreadsheetml/2006/main" count="111" uniqueCount="59">
  <si>
    <t>تقرير محفظة التمويل والأداء - شركة إي تمويلكم (نموذج تحليلي للإدارة)</t>
  </si>
  <si>
    <t>ملخص المؤشرات الرئيسية (KPIs)</t>
  </si>
  <si>
    <t>المؤشر</t>
  </si>
  <si>
    <t>القيمة</t>
  </si>
  <si>
    <t>إجمالي محفظة التمويل</t>
  </si>
  <si>
    <t>إجمالي القروض النشطة</t>
  </si>
  <si>
    <t>متوسط مبلغ القرض</t>
  </si>
  <si>
    <t>إجمالي الرصيد المتبقي</t>
  </si>
  <si>
    <t>توزيع المحفظة حسب الفروع</t>
  </si>
  <si>
    <t>الفرع</t>
  </si>
  <si>
    <t>إجمالي التمويل</t>
  </si>
  <si>
    <t>عمان</t>
  </si>
  <si>
    <t>إربد</t>
  </si>
  <si>
    <t>الزرقاء</t>
  </si>
  <si>
    <t>العقبة</t>
  </si>
  <si>
    <t>الكرك</t>
  </si>
  <si>
    <t>Loan ID</t>
  </si>
  <si>
    <t>Client Name</t>
  </si>
  <si>
    <t>Branch</t>
  </si>
  <si>
    <t>Category</t>
  </si>
  <si>
    <t>Disbursed Date</t>
  </si>
  <si>
    <t>Loan Amount (JOD)</t>
  </si>
  <si>
    <t>Interest Rate</t>
  </si>
  <si>
    <t>Status</t>
  </si>
  <si>
    <t>Monthly Installment</t>
  </si>
  <si>
    <t>Remaining Balance</t>
  </si>
  <si>
    <t>أحمد محمود</t>
  </si>
  <si>
    <t>قرض تجاري صغير</t>
  </si>
  <si>
    <t>Active</t>
  </si>
  <si>
    <t>فاطمة علي</t>
  </si>
  <si>
    <t>تمويل نسائي</t>
  </si>
  <si>
    <t>خالد حسن</t>
  </si>
  <si>
    <t>تمويل زراعي</t>
  </si>
  <si>
    <t>Delayed</t>
  </si>
  <si>
    <t>سارة محمد</t>
  </si>
  <si>
    <t>تمويل مهني</t>
  </si>
  <si>
    <t>عمر ابراهيم</t>
  </si>
  <si>
    <t>Completed</t>
  </si>
  <si>
    <t>نور الدين</t>
  </si>
  <si>
    <t>يوسف أحمد</t>
  </si>
  <si>
    <t>ريم خالد</t>
  </si>
  <si>
    <t>Defaulted</t>
  </si>
  <si>
    <t>طارق زيد</t>
  </si>
  <si>
    <t>بيان عبد الله</t>
  </si>
  <si>
    <t>Total</t>
  </si>
  <si>
    <t>Row Labels</t>
  </si>
  <si>
    <t>Grand Total</t>
  </si>
  <si>
    <t>Sum of Loan Amount (JOD)</t>
  </si>
  <si>
    <t>Loan approval rate</t>
  </si>
  <si>
    <t>Interest rate (JOD)</t>
  </si>
  <si>
    <t>Repayment ratio</t>
  </si>
  <si>
    <t>Sum of Repayment ratio</t>
  </si>
  <si>
    <t>Average of Loan Amount (JOD)</t>
  </si>
  <si>
    <t>Company Average</t>
  </si>
  <si>
    <t>Average of Company Average</t>
  </si>
  <si>
    <t>ما هو إجمالي حجم المحفظة التمويلية للشركة، وقديش إجمالي الرصيد المتبقي بذمّة العملاء</t>
  </si>
  <si>
    <t>Client Financing &amp; Financial Commitment Dashboard)</t>
  </si>
  <si>
    <t>Sum of Loan approval rate</t>
  </si>
  <si>
    <t>Sum of Remaining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</si>
</sst>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quot;JOD&quot;"/>
    <numFmt numFmtId="166" formatCode="0.0%"/>
  </numFmts>
  <fonts count="13">
    <font>
      <sz val="11"/>
      <color theme="1"/>
      <name val="Calibri"/>
      <family val="2"/>
      <scheme val="minor"/>
    </font>
    <font>
      <b/>
      <sz val="11"/>
      <color rgb="FFFFFFFF"/>
      <name val="Calibri"/>
    </font>
    <font>
      <sz val="10"/>
      <name val="Calibri"/>
    </font>
    <font>
      <b/>
      <sz val="14"/>
      <color rgb="FF1F4E78"/>
      <name val="Calibri"/>
    </font>
    <font>
      <b/>
      <sz val="12"/>
      <name val="Calibri"/>
    </font>
    <font>
      <b/>
      <sz val="11"/>
      <color rgb="FFFFFFFF"/>
      <name val="Calibri"/>
      <family val="2"/>
    </font>
    <font>
      <sz val="13"/>
      <color rgb="FF222222"/>
      <name val="Times New Roman"/>
      <family val="1"/>
    </font>
    <font>
      <sz val="11"/>
      <color theme="1"/>
      <name val="Calibri"/>
      <family val="2"/>
      <scheme val="minor"/>
    </font>
    <font>
      <sz val="10"/>
      <name val="Calibri"/>
      <family val="2"/>
    </font>
    <font>
      <b/>
      <sz val="10"/>
      <color theme="2"/>
      <name val="Calibri"/>
      <family val="2"/>
    </font>
    <font>
      <sz val="10"/>
      <color theme="0"/>
      <name val="Calibri"/>
      <family val="2"/>
    </font>
    <font>
      <b/>
      <sz val="10"/>
      <color theme="0"/>
      <name val="Calibri"/>
      <family val="2"/>
    </font>
    <font>
      <b/>
      <sz val="24"/>
      <color theme="0"/>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FF0000"/>
        <bgColor indexed="64"/>
      </patternFill>
    </fill>
    <fill>
      <patternFill patternType="solid">
        <fgColor theme="3" tint="-0.249977111117893"/>
        <bgColor indexed="64"/>
      </patternFill>
    </fill>
  </fills>
  <borders count="5">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s>
  <cellStyleXfs count="2">
    <xf numFmtId="0" fontId="0" fillId="0" borderId="0"/>
    <xf numFmtId="9" fontId="7" fillId="0" borderId="0" applyFont="0" applyFill="0" applyBorder="0" applyAlignment="0" applyProtection="0"/>
  </cellStyleXfs>
  <cellXfs count="44">
    <xf numFmtId="0" fontId="0" fillId="0" borderId="0" xfId="0"/>
    <xf numFmtId="0" fontId="4" fillId="0" borderId="0" xfId="0" applyFont="1"/>
    <xf numFmtId="0" fontId="1" fillId="2" borderId="0" xfId="0" applyFont="1" applyFill="1" applyAlignment="1">
      <alignment horizontal="center"/>
    </xf>
    <xf numFmtId="0" fontId="0" fillId="0" borderId="1" xfId="0" applyBorder="1"/>
    <xf numFmtId="165" fontId="0" fillId="0" borderId="1" xfId="0" applyNumberFormat="1" applyBorder="1" applyAlignment="1">
      <alignment horizontal="right"/>
    </xf>
    <xf numFmtId="3" fontId="0" fillId="0" borderId="1" xfId="0" applyNumberFormat="1" applyBorder="1" applyAlignment="1">
      <alignment horizontal="right"/>
    </xf>
    <xf numFmtId="165" fontId="0" fillId="0" borderId="1" xfId="0" applyNumberFormat="1" applyBorder="1"/>
    <xf numFmtId="0" fontId="1" fillId="2" borderId="0" xfId="0" applyFont="1" applyFill="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165"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0" fillId="0" borderId="2" xfId="0" applyBorder="1"/>
    <xf numFmtId="165" fontId="0" fillId="0" borderId="2" xfId="0" applyNumberFormat="1" applyBorder="1"/>
    <xf numFmtId="165" fontId="0" fillId="0" borderId="2" xfId="0" applyNumberFormat="1" applyBorder="1" applyAlignment="1">
      <alignment horizontal="right"/>
    </xf>
    <xf numFmtId="0" fontId="5" fillId="2" borderId="0" xfId="0" applyFont="1" applyFill="1" applyAlignment="1">
      <alignment horizontal="center" vertical="center"/>
    </xf>
    <xf numFmtId="0" fontId="6" fillId="0" borderId="0" xfId="0" applyFont="1"/>
    <xf numFmtId="0" fontId="0" fillId="0" borderId="0" xfId="0" pivotButton="1"/>
    <xf numFmtId="0" fontId="0" fillId="0" borderId="0" xfId="0" applyAlignment="1">
      <alignment horizontal="left"/>
    </xf>
    <xf numFmtId="165" fontId="0" fillId="0" borderId="0" xfId="0" applyNumberFormat="1"/>
    <xf numFmtId="0" fontId="8" fillId="0" borderId="1" xfId="0" applyFont="1" applyBorder="1" applyAlignment="1">
      <alignment horizontal="center" vertical="center"/>
    </xf>
    <xf numFmtId="165" fontId="8" fillId="0" borderId="1" xfId="0" applyNumberFormat="1" applyFont="1" applyBorder="1" applyAlignment="1">
      <alignment horizontal="center" vertical="center"/>
    </xf>
    <xf numFmtId="165" fontId="8" fillId="0" borderId="4" xfId="0" applyNumberFormat="1" applyFont="1" applyBorder="1" applyAlignment="1">
      <alignment horizontal="center" vertical="center"/>
    </xf>
    <xf numFmtId="165" fontId="8" fillId="0" borderId="2" xfId="0" applyNumberFormat="1" applyFont="1" applyBorder="1" applyAlignment="1">
      <alignment horizontal="center" vertical="center"/>
    </xf>
    <xf numFmtId="9" fontId="8" fillId="0" borderId="4" xfId="1" applyFont="1" applyBorder="1" applyAlignment="1">
      <alignment horizontal="center" vertical="center"/>
    </xf>
    <xf numFmtId="9" fontId="8" fillId="0" borderId="1" xfId="1" applyFont="1" applyBorder="1" applyAlignment="1">
      <alignment horizontal="center" vertical="center"/>
    </xf>
    <xf numFmtId="9" fontId="8" fillId="0" borderId="2" xfId="1" applyFont="1" applyBorder="1" applyAlignment="1">
      <alignment horizontal="center" vertical="center"/>
    </xf>
    <xf numFmtId="0" fontId="8" fillId="3" borderId="3" xfId="0" applyFont="1" applyFill="1" applyBorder="1" applyAlignment="1">
      <alignment horizontal="center" vertical="center"/>
    </xf>
    <xf numFmtId="0" fontId="0" fillId="3" borderId="0" xfId="0" applyFill="1"/>
    <xf numFmtId="9" fontId="0" fillId="0" borderId="0" xfId="0" applyNumberFormat="1"/>
    <xf numFmtId="0" fontId="11" fillId="3" borderId="3" xfId="0" applyFont="1" applyFill="1" applyBorder="1" applyAlignment="1">
      <alignment horizontal="center" vertical="center"/>
    </xf>
    <xf numFmtId="165" fontId="9" fillId="3" borderId="3" xfId="0" applyNumberFormat="1" applyFont="1" applyFill="1" applyBorder="1" applyAlignment="1">
      <alignment horizontal="center" vertical="center"/>
    </xf>
    <xf numFmtId="0" fontId="9" fillId="3" borderId="3" xfId="0" applyFont="1" applyFill="1" applyBorder="1" applyAlignment="1">
      <alignment horizontal="center" vertical="center"/>
    </xf>
    <xf numFmtId="1" fontId="0" fillId="0" borderId="0" xfId="0" applyNumberFormat="1"/>
    <xf numFmtId="165" fontId="5" fillId="2" borderId="0" xfId="0" applyNumberFormat="1" applyFont="1" applyFill="1" applyAlignment="1">
      <alignment horizontal="center" vertical="center"/>
    </xf>
    <xf numFmtId="165" fontId="0" fillId="3" borderId="0" xfId="0" applyNumberFormat="1" applyFill="1"/>
    <xf numFmtId="0" fontId="3" fillId="0" borderId="0" xfId="0" applyFont="1" applyAlignment="1">
      <alignment horizontal="center"/>
    </xf>
    <xf numFmtId="0" fontId="0" fillId="0" borderId="0" xfId="0" applyAlignment="1">
      <alignment horizontal="center"/>
    </xf>
    <xf numFmtId="0" fontId="12" fillId="4" borderId="0" xfId="0" applyFont="1" applyFill="1" applyAlignment="1">
      <alignment horizontal="center"/>
    </xf>
    <xf numFmtId="165" fontId="10" fillId="3" borderId="3" xfId="0" applyNumberFormat="1" applyFont="1" applyFill="1" applyBorder="1" applyAlignment="1">
      <alignment horizontal="center" vertical="center"/>
    </xf>
  </cellXfs>
  <cellStyles count="2">
    <cellStyle name="Normal" xfId="0" builtinId="0"/>
    <cellStyle name="Percent" xfId="1" builtinId="5"/>
  </cellStyles>
  <dxfs count="40">
    <dxf>
      <font>
        <b val="0"/>
        <i val="0"/>
        <strike val="0"/>
        <condense val="0"/>
        <extend val="0"/>
        <outline val="0"/>
        <shadow val="0"/>
        <u val="none"/>
        <vertAlign val="baseline"/>
        <sz val="10"/>
        <color theme="0"/>
        <name val="Calibri"/>
        <family val="2"/>
        <scheme val="none"/>
      </font>
      <numFmt numFmtId="165" formatCode="#,##0.00\ &quot;JOD&quo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val="0"/>
        <i val="0"/>
        <strike val="0"/>
        <condense val="0"/>
        <extend val="0"/>
        <outline val="0"/>
        <shadow val="0"/>
        <u val="none"/>
        <vertAlign val="baseline"/>
        <sz val="10"/>
        <color auto="1"/>
        <name val="Calibri"/>
        <scheme val="none"/>
      </font>
      <numFmt numFmtId="165" formatCode="#,##0.00\ &quot;JOD&quot;"/>
      <alignment horizontal="center"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border>
    </dxf>
    <dxf>
      <numFmt numFmtId="165" formatCode="#,##0.00\ &quot;JOD&quot;"/>
      <fill>
        <patternFill patternType="solid">
          <fgColor indexed="64"/>
          <bgColor rgb="FFFF0000"/>
        </patternFill>
      </fill>
    </dxf>
    <dxf>
      <font>
        <b/>
        <i val="0"/>
        <strike val="0"/>
        <condense val="0"/>
        <extend val="0"/>
        <outline val="0"/>
        <shadow val="0"/>
        <u val="none"/>
        <vertAlign val="baseline"/>
        <sz val="10"/>
        <color theme="2"/>
        <name val="Calibri"/>
        <family val="2"/>
        <scheme val="none"/>
      </font>
      <numFmt numFmtId="165" formatCode="#,##0.00\ &quot;JOD&quo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i val="0"/>
        <strike val="0"/>
        <condense val="0"/>
        <extend val="0"/>
        <outline val="0"/>
        <shadow val="0"/>
        <u val="none"/>
        <vertAlign val="baseline"/>
        <sz val="10"/>
        <color theme="2"/>
        <name val="Calibri"/>
        <family val="2"/>
        <scheme val="none"/>
      </font>
      <numFmt numFmtId="165" formatCode="#,##0.00\ &quot;JOD&quo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i val="0"/>
        <strike val="0"/>
        <condense val="0"/>
        <extend val="0"/>
        <outline val="0"/>
        <shadow val="0"/>
        <u val="none"/>
        <vertAlign val="baseline"/>
        <sz val="10"/>
        <color theme="2"/>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val="0"/>
        <i val="0"/>
        <strike val="0"/>
        <condense val="0"/>
        <extend val="0"/>
        <outline val="0"/>
        <shadow val="0"/>
        <u val="none"/>
        <vertAlign val="baseline"/>
        <sz val="10"/>
        <color auto="1"/>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val="0"/>
        <i val="0"/>
        <strike val="0"/>
        <condense val="0"/>
        <extend val="0"/>
        <outline val="0"/>
        <shadow val="0"/>
        <u val="none"/>
        <vertAlign val="baseline"/>
        <sz val="10"/>
        <color auto="1"/>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val="0"/>
        <i val="0"/>
        <strike val="0"/>
        <condense val="0"/>
        <extend val="0"/>
        <outline val="0"/>
        <shadow val="0"/>
        <u val="none"/>
        <vertAlign val="baseline"/>
        <sz val="10"/>
        <color auto="1"/>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val="0"/>
        <i val="0"/>
        <strike val="0"/>
        <condense val="0"/>
        <extend val="0"/>
        <outline val="0"/>
        <shadow val="0"/>
        <u val="none"/>
        <vertAlign val="baseline"/>
        <sz val="10"/>
        <color auto="1"/>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val="0"/>
        <i val="0"/>
        <strike val="0"/>
        <condense val="0"/>
        <extend val="0"/>
        <outline val="0"/>
        <shadow val="0"/>
        <u val="none"/>
        <vertAlign val="baseline"/>
        <sz val="10"/>
        <color auto="1"/>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val="0"/>
        <i val="0"/>
        <strike val="0"/>
        <condense val="0"/>
        <extend val="0"/>
        <outline val="0"/>
        <shadow val="0"/>
        <u val="none"/>
        <vertAlign val="baseline"/>
        <sz val="10"/>
        <color auto="1"/>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i val="0"/>
        <strike val="0"/>
        <condense val="0"/>
        <extend val="0"/>
        <outline val="0"/>
        <shadow val="0"/>
        <u val="none"/>
        <vertAlign val="baseline"/>
        <sz val="10"/>
        <color theme="0"/>
        <name val="Calibri"/>
        <family val="2"/>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ont>
        <b/>
        <i val="0"/>
        <strike val="0"/>
        <condense val="0"/>
        <extend val="0"/>
        <outline val="0"/>
        <shadow val="0"/>
        <u val="none"/>
        <vertAlign val="baseline"/>
        <sz val="10"/>
        <color theme="2"/>
        <name val="Calibri"/>
        <family val="2"/>
        <scheme val="none"/>
      </font>
      <numFmt numFmtId="165" formatCode="#,##0.00\ &quot;JOD&quot;"/>
      <fill>
        <patternFill patternType="solid">
          <fgColor indexed="64"/>
          <bgColor rgb="FFFF0000"/>
        </patternFill>
      </fill>
      <alignment horizontal="center" vertical="center" textRotation="0" wrapText="0" indent="0" justifyLastLine="0" shrinkToFit="0" readingOrder="0"/>
      <border diagonalUp="0" diagonalDown="0" outline="0">
        <left style="thin">
          <color rgb="FFD3D3D3"/>
        </left>
        <right style="thin">
          <color rgb="FFD3D3D3"/>
        </right>
        <top/>
        <bottom/>
      </border>
    </dxf>
    <dxf>
      <fill>
        <patternFill patternType="solid">
          <fgColor indexed="64"/>
          <bgColor rgb="FFFF0000"/>
        </patternFill>
      </fill>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numFmt numFmtId="165" formatCode="#,##0.00\ &quot;JOD&quot;"/>
      <alignment horizontal="center"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numFmt numFmtId="165" formatCode="#,##0.00\ &quot;JOD&quo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numFmt numFmtId="165" formatCode="#,##0.00\ &quot;JOD&quo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numFmt numFmtId="165" formatCode="#,##0.00\ &quot;JOD&quot;"/>
      <alignment horizontal="center"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Calibri"/>
        <scheme val="none"/>
      </font>
      <numFmt numFmtId="166" formatCode="0.0%"/>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numFmt numFmtId="165" formatCode="#,##0.00\ &quot;JOD&quo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numFmt numFmtId="164" formatCode="yyyy\-mm\-dd"/>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ill>
        <patternFill patternType="solid">
          <fgColor indexed="64"/>
          <bgColor rgb="FFFF0000"/>
        </patternFill>
      </fill>
    </dxf>
    <dxf>
      <border outline="0">
        <bottom style="thin">
          <color rgb="FFD3D3D3"/>
        </bottom>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0" indent="0" justifyLastLine="0" shrinkToFit="0" readingOrder="0"/>
    </dxf>
    <dxf>
      <numFmt numFmtId="165" formatCode="#,##0.00\ &quot;JOD&quot;"/>
      <alignment horizontal="right" vertical="bottom" textRotation="0" wrapText="0" indent="0" justifyLastLine="0" shrinkToFit="0" readingOrder="0"/>
      <border diagonalUp="0" diagonalDown="0">
        <left style="thin">
          <color rgb="FFD3D3D3"/>
        </left>
        <right style="thin">
          <color rgb="FFD3D3D3"/>
        </right>
        <top style="thin">
          <color rgb="FFD3D3D3"/>
        </top>
        <bottom style="thin">
          <color rgb="FFD3D3D3"/>
        </bottom>
        <vertical/>
        <horizontal/>
      </border>
    </dxf>
    <dxf>
      <border diagonalUp="0" diagonalDown="0">
        <left style="thin">
          <color rgb="FFD3D3D3"/>
        </left>
        <right style="thin">
          <color rgb="FFD3D3D3"/>
        </right>
        <top style="thin">
          <color rgb="FFD3D3D3"/>
        </top>
        <bottom style="thin">
          <color rgb="FFD3D3D3"/>
        </bottom>
        <vertical/>
        <horizontal/>
      </border>
    </dxf>
    <dxf>
      <border outline="0">
        <bottom style="thin">
          <color rgb="FFD3D3D3"/>
        </bottom>
      </border>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bottom" textRotation="0" wrapText="0" indent="0" justifyLastLine="0" shrinkToFit="0" readingOrder="0"/>
    </dxf>
    <dxf>
      <numFmt numFmtId="165" formatCode="#,##0.00\ &quot;JOD&quot;"/>
      <border diagonalUp="0" diagonalDown="0">
        <left style="thin">
          <color rgb="FFD3D3D3"/>
        </left>
        <right style="thin">
          <color rgb="FFD3D3D3"/>
        </right>
        <top style="thin">
          <color rgb="FFD3D3D3"/>
        </top>
        <bottom style="thin">
          <color rgb="FFD3D3D3"/>
        </bottom>
        <vertical/>
        <horizontal/>
      </border>
    </dxf>
    <dxf>
      <border diagonalUp="0" diagonalDown="0">
        <left style="thin">
          <color rgb="FFD3D3D3"/>
        </left>
        <right style="thin">
          <color rgb="FFD3D3D3"/>
        </right>
        <top style="thin">
          <color rgb="FFD3D3D3"/>
        </top>
        <bottom style="thin">
          <color rgb="FFD3D3D3"/>
        </bottom>
        <vertical/>
        <horizontal/>
      </border>
    </dxf>
    <dxf>
      <border outline="0">
        <bottom style="thin">
          <color rgb="FFD3D3D3"/>
        </bottom>
      </border>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ar-JO"/>
              <a:t>مقارنة حجم التمويل حسب الفروع</a:t>
            </a:r>
          </a:p>
        </c:rich>
      </c:tx>
      <c:overlay val="0"/>
    </c:title>
    <c:autoTitleDeleted val="0"/>
    <c:plotArea>
      <c:layout/>
      <c:barChart>
        <c:barDir val="col"/>
        <c:grouping val="clustered"/>
        <c:varyColors val="0"/>
        <c:ser>
          <c:idx val="0"/>
          <c:order val="0"/>
          <c:tx>
            <c:strRef>
              <c:f>'Dashboard Summary'!$B$12</c:f>
              <c:strCache>
                <c:ptCount val="1"/>
                <c:pt idx="0">
                  <c:v>إجمالي التمويل</c:v>
                </c:pt>
              </c:strCache>
            </c:strRef>
          </c:tx>
          <c:spPr>
            <a:ln>
              <a:prstDash val="solid"/>
            </a:ln>
          </c:spPr>
          <c:invertIfNegative val="0"/>
          <c:cat>
            <c:strRef>
              <c:f>'Dashboard Summary'!$A$13:$A$17</c:f>
              <c:strCache>
                <c:ptCount val="5"/>
                <c:pt idx="0">
                  <c:v>عمان</c:v>
                </c:pt>
                <c:pt idx="1">
                  <c:v>الزرقاء</c:v>
                </c:pt>
                <c:pt idx="2">
                  <c:v>العقبة</c:v>
                </c:pt>
                <c:pt idx="3">
                  <c:v>إربد</c:v>
                </c:pt>
                <c:pt idx="4">
                  <c:v>الكرك</c:v>
                </c:pt>
              </c:strCache>
            </c:strRef>
          </c:cat>
          <c:val>
            <c:numRef>
              <c:f>'Dashboard Summary'!$B$13:$B$17</c:f>
              <c:numCache>
                <c:formatCode>#,##0.00\ "JOD"</c:formatCode>
                <c:ptCount val="5"/>
                <c:pt idx="0">
                  <c:v>15000</c:v>
                </c:pt>
                <c:pt idx="1">
                  <c:v>12500</c:v>
                </c:pt>
                <c:pt idx="2">
                  <c:v>10000</c:v>
                </c:pt>
                <c:pt idx="3">
                  <c:v>9000</c:v>
                </c:pt>
                <c:pt idx="4">
                  <c:v>7500</c:v>
                </c:pt>
              </c:numCache>
            </c:numRef>
          </c:val>
          <c:extLst>
            <c:ext xmlns:c16="http://schemas.microsoft.com/office/drawing/2014/chart" uri="{C3380CC4-5D6E-409C-BE32-E72D297353CC}">
              <c16:uniqueId val="{00000000-6438-4B47-A14A-CE0050049747}"/>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ar-JO"/>
                  <a:t>الفرع</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ar-JO"/>
                  <a:t>المبلغ (</a:t>
                </a:r>
                <a:r>
                  <a:rPr lang="en-US"/>
                  <a:t>JOD)</a:t>
                </a:r>
              </a:p>
            </c:rich>
          </c:tx>
          <c:overlay val="0"/>
        </c:title>
        <c:numFmt formatCode="#,##0.00\ &quot;JOD&quot;"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[Tamweelkom_Loan_Financing_Dashboard.xlsx]Category&amp;Loan Amount!PivotTable1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Category&amp;Loan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'Category&amp;Loan Amount'!$B$3</c:f>
              <c:strCache>
                <c:ptCount val="1"/>
                <c:pt idx="0">
                  <c:v>Total</c:v>
                </c:pt>
              </c:strCache>
            </c:strRef>
          </c:tx>
          <c:spPr>
            <a:solidFill>
              <a:schemeClr val="accent1"/>
            </a:solidFill>
            <a:ln>
              <a:noFill/>
            </a:ln>
            <a:effectLst/>
          </c:spPr>
          <c:invertIfNegative val="0"/>
          <c:cat>
            <c:strRef>
              <c:f>'Category&amp;Loan Amount'!$A$4:$A$8</c:f>
              <c:strCache>
                <c:ptCount val="4"/>
                <c:pt idx="0">
                  <c:v>قرض تجاري صغير</c:v>
                </c:pt>
                <c:pt idx="1">
                  <c:v>تمويل زراعي</c:v>
                </c:pt>
                <c:pt idx="2">
                  <c:v>تمويل مهني</c:v>
                </c:pt>
                <c:pt idx="3">
                  <c:v>تمويل نسائي</c:v>
                </c:pt>
              </c:strCache>
            </c:strRef>
          </c:cat>
          <c:val>
            <c:numRef>
              <c:f>'Category&amp;Loan Amount'!$B$4:$B$8</c:f>
              <c:numCache>
                <c:formatCode>#,##0.00\ "JOD"</c:formatCode>
                <c:ptCount val="4"/>
                <c:pt idx="0">
                  <c:v>19500</c:v>
                </c:pt>
                <c:pt idx="1">
                  <c:v>15500</c:v>
                </c:pt>
                <c:pt idx="2">
                  <c:v>10000</c:v>
                </c:pt>
                <c:pt idx="3">
                  <c:v>9000</c:v>
                </c:pt>
              </c:numCache>
            </c:numRef>
          </c:val>
          <c:extLst>
            <c:ext xmlns:c16="http://schemas.microsoft.com/office/drawing/2014/chart" uri="{C3380CC4-5D6E-409C-BE32-E72D297353CC}">
              <c16:uniqueId val="{00000000-8E31-4175-A54F-BFB37928AB47}"/>
            </c:ext>
          </c:extLst>
        </c:ser>
        <c:dLbls>
          <c:showLegendKey val="0"/>
          <c:showVal val="0"/>
          <c:showCatName val="0"/>
          <c:showSerName val="0"/>
          <c:showPercent val="0"/>
          <c:showBubbleSize val="0"/>
        </c:dLbls>
        <c:gapWidth val="219"/>
        <c:overlap val="-27"/>
        <c:axId val="484706728"/>
        <c:axId val="484710952"/>
      </c:barChart>
      <c:catAx>
        <c:axId val="484706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710952"/>
        <c:crosses val="autoZero"/>
        <c:auto val="1"/>
        <c:lblAlgn val="ctr"/>
        <c:lblOffset val="100"/>
        <c:noMultiLvlLbl val="0"/>
      </c:catAx>
      <c:valAx>
        <c:axId val="484710952"/>
        <c:scaling>
          <c:orientation val="minMax"/>
        </c:scaling>
        <c:delete val="0"/>
        <c:axPos val="l"/>
        <c:majorGridlines>
          <c:spPr>
            <a:ln w="9525" cap="flat" cmpd="sng" algn="ctr">
              <a:solidFill>
                <a:schemeClr val="tx1">
                  <a:lumMod val="15000"/>
                  <a:lumOff val="85000"/>
                </a:schemeClr>
              </a:solid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706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[Tamweelkom_Loan_Financing_Dashboard.xlsx]repayment ratios of Categorys!PivotTable2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repayment ratios of Categorys</a:t>
            </a:r>
          </a:p>
        </c:rich>
      </c:tx>
      <c:layout>
        <c:manualLayout>
          <c:xMode val="edge"/>
          <c:yMode val="edge"/>
          <c:x val="0.2091666666666666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'repayment ratios of Categorys'!$B$3</c:f>
              <c:strCache>
                <c:ptCount val="1"/>
                <c:pt idx="0">
                  <c:v>Total</c:v>
                </c:pt>
              </c:strCache>
            </c:strRef>
          </c:tx>
          <c:spPr>
            <a:solidFill>
              <a:schemeClr val="accent1"/>
            </a:solidFill>
            <a:ln>
              <a:noFill/>
            </a:ln>
            <a:effectLst/>
          </c:spPr>
          <c:invertIfNegative val="0"/>
          <c:cat>
            <c:strRef>
              <c:f>'repayment ratios of Categorys'!$A$4:$A$8</c:f>
              <c:strCache>
                <c:ptCount val="4"/>
                <c:pt idx="0">
                  <c:v>Active</c:v>
                </c:pt>
                <c:pt idx="1">
                  <c:v>Completed</c:v>
                </c:pt>
                <c:pt idx="2">
                  <c:v>Delayed</c:v>
                </c:pt>
                <c:pt idx="3">
                  <c:v>Defaulted</c:v>
                </c:pt>
              </c:strCache>
            </c:strRef>
          </c:cat>
          <c:val>
            <c:numRef>
              <c:f>'repayment ratios of Categorys'!$B$4:$B$8</c:f>
              <c:numCache>
                <c:formatCode>0%</c:formatCode>
                <c:ptCount val="4"/>
                <c:pt idx="0">
                  <c:v>1.6385916835458119</c:v>
                </c:pt>
                <c:pt idx="1">
                  <c:v>1</c:v>
                </c:pt>
                <c:pt idx="2">
                  <c:v>0.26136363636363635</c:v>
                </c:pt>
                <c:pt idx="3">
                  <c:v>0.11314984709480122</c:v>
                </c:pt>
              </c:numCache>
            </c:numRef>
          </c:val>
          <c:extLst>
            <c:ext xmlns:c16="http://schemas.microsoft.com/office/drawing/2014/chart" uri="{C3380CC4-5D6E-409C-BE32-E72D297353CC}">
              <c16:uniqueId val="{00000000-F854-45FC-A408-B924FD787239}"/>
            </c:ext>
          </c:extLst>
        </c:ser>
        <c:dLbls>
          <c:showLegendKey val="0"/>
          <c:showVal val="0"/>
          <c:showCatName val="0"/>
          <c:showSerName val="0"/>
          <c:showPercent val="0"/>
          <c:showBubbleSize val="0"/>
        </c:dLbls>
        <c:gapWidth val="219"/>
        <c:overlap val="-27"/>
        <c:axId val="645894408"/>
        <c:axId val="645896168"/>
      </c:barChart>
      <c:catAx>
        <c:axId val="64589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6168"/>
        <c:crosses val="autoZero"/>
        <c:auto val="1"/>
        <c:lblAlgn val="ctr"/>
        <c:lblOffset val="100"/>
        <c:noMultiLvlLbl val="0"/>
      </c:catAx>
      <c:valAx>
        <c:axId val="645896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4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[Tamweelkom_Loan_Financing_Dashboard.xlsx]Total AVERAGE OF LOAN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ar-JO"/>
              <a:t> </a:t>
            </a:r>
            <a:r>
              <a:rPr lang="en-US"/>
              <a:t>AVERAGE OF LOAN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AVERAGE OF LOAN '!$B$3</c:f>
              <c:strCache>
                <c:ptCount val="1"/>
                <c:pt idx="0">
                  <c:v>Average of Loan Amount (JOD)</c:v>
                </c:pt>
              </c:strCache>
            </c:strRef>
          </c:tx>
          <c:spPr>
            <a:solidFill>
              <a:schemeClr val="accent1"/>
            </a:solidFill>
            <a:ln>
              <a:noFill/>
            </a:ln>
            <a:effectLst/>
          </c:spPr>
          <c:invertIfNegative val="0"/>
          <c:cat>
            <c:strRef>
              <c:f>'Total AVERAGE OF LOAN '!$A$4:$A$8</c:f>
              <c:strCache>
                <c:ptCount val="4"/>
                <c:pt idx="0">
                  <c:v>تمويل زراعي</c:v>
                </c:pt>
                <c:pt idx="1">
                  <c:v>قرض تجاري صغير</c:v>
                </c:pt>
                <c:pt idx="2">
                  <c:v>تمويل مهني</c:v>
                </c:pt>
                <c:pt idx="3">
                  <c:v>تمويل نسائي</c:v>
                </c:pt>
              </c:strCache>
            </c:strRef>
          </c:cat>
          <c:val>
            <c:numRef>
              <c:f>'Total AVERAGE OF LOAN '!$B$4:$B$8</c:f>
              <c:numCache>
                <c:formatCode>#,##0.00\ "JOD"</c:formatCode>
                <c:ptCount val="4"/>
                <c:pt idx="0">
                  <c:v>7750</c:v>
                </c:pt>
                <c:pt idx="1">
                  <c:v>6500</c:v>
                </c:pt>
                <c:pt idx="2">
                  <c:v>5000</c:v>
                </c:pt>
                <c:pt idx="3">
                  <c:v>3000</c:v>
                </c:pt>
              </c:numCache>
            </c:numRef>
          </c:val>
          <c:extLst>
            <c:ext xmlns:c16="http://schemas.microsoft.com/office/drawing/2014/chart" uri="{C3380CC4-5D6E-409C-BE32-E72D297353CC}">
              <c16:uniqueId val="{00000000-E990-42D1-AA8F-B943E237E8E5}"/>
            </c:ext>
          </c:extLst>
        </c:ser>
        <c:ser>
          <c:idx val="1"/>
          <c:order val="1"/>
          <c:tx>
            <c:strRef>
              <c:f>'Total AVERAGE OF LOAN '!$C$3</c:f>
              <c:strCache>
                <c:ptCount val="1"/>
                <c:pt idx="0">
                  <c:v>Average of Company Average</c:v>
                </c:pt>
              </c:strCache>
            </c:strRef>
          </c:tx>
          <c:spPr>
            <a:solidFill>
              <a:schemeClr val="accent2"/>
            </a:solidFill>
            <a:ln>
              <a:noFill/>
            </a:ln>
            <a:effectLst/>
          </c:spPr>
          <c:invertIfNegative val="0"/>
          <c:cat>
            <c:strRef>
              <c:f>'Total AVERAGE OF LOAN '!$A$4:$A$8</c:f>
              <c:strCache>
                <c:ptCount val="4"/>
                <c:pt idx="0">
                  <c:v>تمويل زراعي</c:v>
                </c:pt>
                <c:pt idx="1">
                  <c:v>قرض تجاري صغير</c:v>
                </c:pt>
                <c:pt idx="2">
                  <c:v>تمويل مهني</c:v>
                </c:pt>
                <c:pt idx="3">
                  <c:v>تمويل نسائي</c:v>
                </c:pt>
              </c:strCache>
            </c:strRef>
          </c:cat>
          <c:val>
            <c:numRef>
              <c:f>'Total AVERAGE OF LOAN '!$C$4:$C$8</c:f>
              <c:numCache>
                <c:formatCode>#,##0.00\ "JOD"</c:formatCode>
                <c:ptCount val="4"/>
                <c:pt idx="0">
                  <c:v>5400</c:v>
                </c:pt>
                <c:pt idx="1">
                  <c:v>5400</c:v>
                </c:pt>
                <c:pt idx="2">
                  <c:v>5400</c:v>
                </c:pt>
                <c:pt idx="3">
                  <c:v>5400</c:v>
                </c:pt>
              </c:numCache>
            </c:numRef>
          </c:val>
          <c:extLst>
            <c:ext xmlns:c16="http://schemas.microsoft.com/office/drawing/2014/chart" uri="{C3380CC4-5D6E-409C-BE32-E72D297353CC}">
              <c16:uniqueId val="{00000002-E990-42D1-AA8F-B943E237E8E5}"/>
            </c:ext>
          </c:extLst>
        </c:ser>
        <c:dLbls>
          <c:showLegendKey val="0"/>
          <c:showVal val="0"/>
          <c:showCatName val="0"/>
          <c:showSerName val="0"/>
          <c:showPercent val="0"/>
          <c:showBubbleSize val="0"/>
        </c:dLbls>
        <c:gapWidth val="219"/>
        <c:overlap val="-27"/>
        <c:axId val="678056096"/>
        <c:axId val="678062576"/>
      </c:barChart>
      <c:catAx>
        <c:axId val="67805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62576"/>
        <c:crosses val="autoZero"/>
        <c:auto val="1"/>
        <c:lblAlgn val="ctr"/>
        <c:lblOffset val="100"/>
        <c:noMultiLvlLbl val="0"/>
      </c:catAx>
      <c:valAx>
        <c:axId val="678062576"/>
        <c:scaling>
          <c:orientation val="minMax"/>
        </c:scaling>
        <c:delete val="0"/>
        <c:axPos val="l"/>
        <c:majorGridlines>
          <c:spPr>
            <a:ln w="9525" cap="flat" cmpd="sng" algn="ctr">
              <a:solidFill>
                <a:schemeClr val="tx1">
                  <a:lumMod val="15000"/>
                  <a:lumOff val="85000"/>
                </a:schemeClr>
              </a:solid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5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[Tamweelkom_Loan_Financing_Dashboard.xlsx]Total funding for branch!PivotTable3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Total funding for  branch</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funding for branch'!$B$3</c:f>
              <c:strCache>
                <c:ptCount val="1"/>
                <c:pt idx="0">
                  <c:v>Total</c:v>
                </c:pt>
              </c:strCache>
            </c:strRef>
          </c:tx>
          <c:spPr>
            <a:solidFill>
              <a:schemeClr val="accent1"/>
            </a:solidFill>
            <a:ln>
              <a:noFill/>
            </a:ln>
            <a:effectLst/>
          </c:spPr>
          <c:invertIfNegative val="0"/>
          <c:cat>
            <c:strRef>
              <c:f>'Total funding for branch'!$A$4:$A$9</c:f>
              <c:strCache>
                <c:ptCount val="5"/>
                <c:pt idx="0">
                  <c:v>عمان</c:v>
                </c:pt>
                <c:pt idx="1">
                  <c:v>الزرقاء</c:v>
                </c:pt>
                <c:pt idx="2">
                  <c:v>العقبة</c:v>
                </c:pt>
                <c:pt idx="3">
                  <c:v>إربد</c:v>
                </c:pt>
                <c:pt idx="4">
                  <c:v>الكرك</c:v>
                </c:pt>
              </c:strCache>
            </c:strRef>
          </c:cat>
          <c:val>
            <c:numRef>
              <c:f>'Total funding for branch'!$B$4:$B$9</c:f>
              <c:numCache>
                <c:formatCode>#,##0.00\ "JOD"</c:formatCode>
                <c:ptCount val="5"/>
                <c:pt idx="0">
                  <c:v>15000</c:v>
                </c:pt>
                <c:pt idx="1">
                  <c:v>12500</c:v>
                </c:pt>
                <c:pt idx="2">
                  <c:v>10000</c:v>
                </c:pt>
                <c:pt idx="3">
                  <c:v>9000</c:v>
                </c:pt>
                <c:pt idx="4">
                  <c:v>7500</c:v>
                </c:pt>
              </c:numCache>
            </c:numRef>
          </c:val>
          <c:extLst>
            <c:ext xmlns:c16="http://schemas.microsoft.com/office/drawing/2014/chart" uri="{C3380CC4-5D6E-409C-BE32-E72D297353CC}">
              <c16:uniqueId val="{00000000-DDD7-45DC-B3F0-DD2AB1FBD2A5}"/>
            </c:ext>
          </c:extLst>
        </c:ser>
        <c:dLbls>
          <c:showLegendKey val="0"/>
          <c:showVal val="0"/>
          <c:showCatName val="0"/>
          <c:showSerName val="0"/>
          <c:showPercent val="0"/>
          <c:showBubbleSize val="0"/>
        </c:dLbls>
        <c:gapWidth val="219"/>
        <c:overlap val="-27"/>
        <c:axId val="940713320"/>
        <c:axId val="940709360"/>
      </c:barChart>
      <c:catAx>
        <c:axId val="94071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09360"/>
        <c:crosses val="autoZero"/>
        <c:auto val="1"/>
        <c:lblAlgn val="ctr"/>
        <c:lblOffset val="100"/>
        <c:noMultiLvlLbl val="0"/>
      </c:catAx>
      <c:valAx>
        <c:axId val="940709360"/>
        <c:scaling>
          <c:orientation val="minMax"/>
        </c:scaling>
        <c:delete val="0"/>
        <c:axPos val="l"/>
        <c:majorGridlines>
          <c:spPr>
            <a:ln w="9525" cap="flat" cmpd="sng" algn="ctr">
              <a:solidFill>
                <a:schemeClr val="tx1">
                  <a:lumMod val="15000"/>
                  <a:lumOff val="85000"/>
                </a:schemeClr>
              </a:solid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13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[Tamweelkom_Loan_Financing_Dashboard.xlsx]Total AVERAGE OF LOAN !PivotTable1</c:name>
    <c:fmtId val="9"/>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rPr>
              <a:t>Total</a:t>
            </a:r>
            <a:r>
              <a:rPr lang="ar-JO" sz="1800" b="1">
                <a:solidFill>
                  <a:schemeClr val="tx2"/>
                </a:solidFill>
              </a:rPr>
              <a:t> </a:t>
            </a:r>
            <a:r>
              <a:rPr lang="en-US" sz="1800" b="1">
                <a:solidFill>
                  <a:schemeClr val="tx2"/>
                </a:solidFill>
              </a:rPr>
              <a:t>AVERAGE OF LOAN</a:t>
            </a:r>
            <a:r>
              <a:rPr lang="en-US" sz="1800" b="1" baseline="0">
                <a:solidFill>
                  <a:schemeClr val="tx2"/>
                </a:solidFill>
              </a:rPr>
              <a:t> </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3338553130211"/>
          <c:y val="0.13939968977550846"/>
          <c:w val="0.58319476115338209"/>
          <c:h val="0.78728702953871799"/>
        </c:manualLayout>
      </c:layout>
      <c:barChart>
        <c:barDir val="col"/>
        <c:grouping val="clustered"/>
        <c:varyColors val="0"/>
        <c:ser>
          <c:idx val="0"/>
          <c:order val="0"/>
          <c:tx>
            <c:strRef>
              <c:f>'Total AVERAGE OF LOAN '!$B$3</c:f>
              <c:strCache>
                <c:ptCount val="1"/>
                <c:pt idx="0">
                  <c:v>Average of Loan Amount (JOD)</c:v>
                </c:pt>
              </c:strCache>
            </c:strRef>
          </c:tx>
          <c:spPr>
            <a:solidFill>
              <a:schemeClr val="accent1"/>
            </a:solidFill>
            <a:ln>
              <a:noFill/>
            </a:ln>
            <a:effectLst/>
          </c:spPr>
          <c:invertIfNegative val="0"/>
          <c:cat>
            <c:strRef>
              <c:f>'Total AVERAGE OF LOAN '!$A$4:$A$8</c:f>
              <c:strCache>
                <c:ptCount val="4"/>
                <c:pt idx="0">
                  <c:v>تمويل زراعي</c:v>
                </c:pt>
                <c:pt idx="1">
                  <c:v>قرض تجاري صغير</c:v>
                </c:pt>
                <c:pt idx="2">
                  <c:v>تمويل مهني</c:v>
                </c:pt>
                <c:pt idx="3">
                  <c:v>تمويل نسائي</c:v>
                </c:pt>
              </c:strCache>
            </c:strRef>
          </c:cat>
          <c:val>
            <c:numRef>
              <c:f>'Total AVERAGE OF LOAN '!$B$4:$B$8</c:f>
              <c:numCache>
                <c:formatCode>#,##0.00\ "JOD"</c:formatCode>
                <c:ptCount val="4"/>
                <c:pt idx="0">
                  <c:v>7750</c:v>
                </c:pt>
                <c:pt idx="1">
                  <c:v>6500</c:v>
                </c:pt>
                <c:pt idx="2">
                  <c:v>5000</c:v>
                </c:pt>
                <c:pt idx="3">
                  <c:v>3000</c:v>
                </c:pt>
              </c:numCache>
            </c:numRef>
          </c:val>
          <c:extLst>
            <c:ext xmlns:c16="http://schemas.microsoft.com/office/drawing/2014/chart" uri="{C3380CC4-5D6E-409C-BE32-E72D297353CC}">
              <c16:uniqueId val="{00000000-2447-409F-8804-B45369B801D2}"/>
            </c:ext>
          </c:extLst>
        </c:ser>
        <c:ser>
          <c:idx val="1"/>
          <c:order val="1"/>
          <c:tx>
            <c:strRef>
              <c:f>'Total AVERAGE OF LOAN '!$C$3</c:f>
              <c:strCache>
                <c:ptCount val="1"/>
                <c:pt idx="0">
                  <c:v>Average of Company Average</c:v>
                </c:pt>
              </c:strCache>
            </c:strRef>
          </c:tx>
          <c:spPr>
            <a:solidFill>
              <a:schemeClr val="accent2"/>
            </a:solidFill>
            <a:ln>
              <a:noFill/>
            </a:ln>
            <a:effectLst/>
          </c:spPr>
          <c:invertIfNegative val="0"/>
          <c:cat>
            <c:strRef>
              <c:f>'Total AVERAGE OF LOAN '!$A$4:$A$8</c:f>
              <c:strCache>
                <c:ptCount val="4"/>
                <c:pt idx="0">
                  <c:v>تمويل زراعي</c:v>
                </c:pt>
                <c:pt idx="1">
                  <c:v>قرض تجاري صغير</c:v>
                </c:pt>
                <c:pt idx="2">
                  <c:v>تمويل مهني</c:v>
                </c:pt>
                <c:pt idx="3">
                  <c:v>تمويل نسائي</c:v>
                </c:pt>
              </c:strCache>
            </c:strRef>
          </c:cat>
          <c:val>
            <c:numRef>
              <c:f>'Total AVERAGE OF LOAN '!$C$4:$C$8</c:f>
              <c:numCache>
                <c:formatCode>#,##0.00\ "JOD"</c:formatCode>
                <c:ptCount val="4"/>
                <c:pt idx="0">
                  <c:v>5400</c:v>
                </c:pt>
                <c:pt idx="1">
                  <c:v>5400</c:v>
                </c:pt>
                <c:pt idx="2">
                  <c:v>5400</c:v>
                </c:pt>
                <c:pt idx="3">
                  <c:v>5400</c:v>
                </c:pt>
              </c:numCache>
            </c:numRef>
          </c:val>
          <c:extLst>
            <c:ext xmlns:c16="http://schemas.microsoft.com/office/drawing/2014/chart" uri="{C3380CC4-5D6E-409C-BE32-E72D297353CC}">
              <c16:uniqueId val="{00000001-2447-409F-8804-B45369B801D2}"/>
            </c:ext>
          </c:extLst>
        </c:ser>
        <c:dLbls>
          <c:showLegendKey val="0"/>
          <c:showVal val="0"/>
          <c:showCatName val="0"/>
          <c:showSerName val="0"/>
          <c:showPercent val="0"/>
          <c:showBubbleSize val="0"/>
        </c:dLbls>
        <c:gapWidth val="219"/>
        <c:overlap val="-27"/>
        <c:axId val="678056096"/>
        <c:axId val="678062576"/>
      </c:barChart>
      <c:catAx>
        <c:axId val="67805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62576"/>
        <c:crosses val="autoZero"/>
        <c:auto val="1"/>
        <c:lblAlgn val="ctr"/>
        <c:lblOffset val="100"/>
        <c:noMultiLvlLbl val="0"/>
      </c:catAx>
      <c:valAx>
        <c:axId val="678062576"/>
        <c:scaling>
          <c:orientation val="minMax"/>
        </c:scaling>
        <c:delete val="0"/>
        <c:axPos val="l"/>
        <c:majorGridlines>
          <c:spPr>
            <a:ln w="9525" cap="flat" cmpd="sng" algn="ctr">
              <a:noFill/>
              <a:round/>
            </a:ln>
            <a:effectLst/>
          </c:spPr>
        </c:majorGridlines>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56096"/>
        <c:crosses val="autoZero"/>
        <c:crossBetween val="between"/>
      </c:valAx>
      <c:spPr>
        <a:noFill/>
        <a:ln w="25400">
          <a:noFill/>
        </a:ln>
        <a:effectLst/>
      </c:spPr>
    </c:plotArea>
    <c:legend>
      <c:legendPos val="r"/>
      <c:layout>
        <c:manualLayout>
          <c:xMode val="edge"/>
          <c:yMode val="edge"/>
          <c:x val="0.69934646590589389"/>
          <c:y val="0.14399352819145406"/>
          <c:w val="0.30065353409410617"/>
          <c:h val="0.17741538744927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[Tamweelkom_Loan_Financing_Dashboard.xlsx]repayment ratios of Categorys!PivotTable2</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2"/>
                </a:solidFill>
              </a:rPr>
              <a:t>repayment ratios of Categorys</a:t>
            </a:r>
          </a:p>
        </c:rich>
      </c:tx>
      <c:layout>
        <c:manualLayout>
          <c:xMode val="edge"/>
          <c:yMode val="edge"/>
          <c:x val="0.31837052794475962"/>
          <c:y val="3.099279835390946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'repayment ratios of Categorys'!$B$3</c:f>
              <c:strCache>
                <c:ptCount val="1"/>
                <c:pt idx="0">
                  <c:v>Total</c:v>
                </c:pt>
              </c:strCache>
            </c:strRef>
          </c:tx>
          <c:spPr>
            <a:solidFill>
              <a:schemeClr val="accent1"/>
            </a:solidFill>
            <a:ln>
              <a:noFill/>
            </a:ln>
            <a:effectLst/>
          </c:spPr>
          <c:invertIfNegative val="0"/>
          <c:cat>
            <c:strRef>
              <c:f>'repayment ratios of Categorys'!$A$4:$A$8</c:f>
              <c:strCache>
                <c:ptCount val="4"/>
                <c:pt idx="0">
                  <c:v>Active</c:v>
                </c:pt>
                <c:pt idx="1">
                  <c:v>Completed</c:v>
                </c:pt>
                <c:pt idx="2">
                  <c:v>Delayed</c:v>
                </c:pt>
                <c:pt idx="3">
                  <c:v>Defaulted</c:v>
                </c:pt>
              </c:strCache>
            </c:strRef>
          </c:cat>
          <c:val>
            <c:numRef>
              <c:f>'repayment ratios of Categorys'!$B$4:$B$8</c:f>
              <c:numCache>
                <c:formatCode>0%</c:formatCode>
                <c:ptCount val="4"/>
                <c:pt idx="0">
                  <c:v>1.6385916835458119</c:v>
                </c:pt>
                <c:pt idx="1">
                  <c:v>1</c:v>
                </c:pt>
                <c:pt idx="2">
                  <c:v>0.26136363636363635</c:v>
                </c:pt>
                <c:pt idx="3">
                  <c:v>0.11314984709480122</c:v>
                </c:pt>
              </c:numCache>
            </c:numRef>
          </c:val>
          <c:extLst>
            <c:ext xmlns:c16="http://schemas.microsoft.com/office/drawing/2014/chart" uri="{C3380CC4-5D6E-409C-BE32-E72D297353CC}">
              <c16:uniqueId val="{00000000-68A4-4770-9BC5-F85918098324}"/>
            </c:ext>
          </c:extLst>
        </c:ser>
        <c:dLbls>
          <c:showLegendKey val="0"/>
          <c:showVal val="0"/>
          <c:showCatName val="0"/>
          <c:showSerName val="0"/>
          <c:showPercent val="0"/>
          <c:showBubbleSize val="0"/>
        </c:dLbls>
        <c:gapWidth val="219"/>
        <c:overlap val="-27"/>
        <c:axId val="645894408"/>
        <c:axId val="645896168"/>
      </c:barChart>
      <c:catAx>
        <c:axId val="64589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6168"/>
        <c:crosses val="autoZero"/>
        <c:auto val="1"/>
        <c:lblAlgn val="ctr"/>
        <c:lblOffset val="100"/>
        <c:noMultiLvlLbl val="0"/>
      </c:catAx>
      <c:valAx>
        <c:axId val="64589616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440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494234544226178"/>
          <c:y val="0.42793117864211566"/>
          <c:w val="0.13676359718904688"/>
          <c:h val="0.15624540093084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[Tamweelkom_Loan_Financing_Dashboard.xlsx]Total funding for branch!PivotTable3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chemeClr val="tx2"/>
                </a:solidFill>
                <a:latin typeface="+mn-lt"/>
                <a:ea typeface="+mn-ea"/>
                <a:cs typeface="+mn-cs"/>
              </a:defRPr>
            </a:pPr>
            <a:r>
              <a:rPr lang="en-US" sz="1800" b="1">
                <a:solidFill>
                  <a:schemeClr val="tx2"/>
                </a:solidFill>
                <a:effectLst/>
              </a:rPr>
              <a:t>Total funding for  branch</a:t>
            </a:r>
          </a:p>
          <a:p>
            <a:pPr marL="0" marR="0" lvl="0" indent="0" algn="ctr" defTabSz="914400" rtl="0" eaLnBrk="1" fontAlgn="auto" latinLnBrk="0" hangingPunct="1">
              <a:lnSpc>
                <a:spcPct val="100000"/>
              </a:lnSpc>
              <a:spcBef>
                <a:spcPts val="0"/>
              </a:spcBef>
              <a:spcAft>
                <a:spcPts val="0"/>
              </a:spcAft>
              <a:buClrTx/>
              <a:buSzTx/>
              <a:buFontTx/>
              <a:buNone/>
              <a:tabLst/>
              <a:defRPr sz="1800" b="1">
                <a:solidFill>
                  <a:schemeClr val="tx2"/>
                </a:solidFill>
              </a:defRPr>
            </a:pPr>
            <a:endParaRPr lang="en-US" sz="1800" b="1">
              <a:solidFill>
                <a:schemeClr val="tx2"/>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2736844115498"/>
          <c:y val="0.26760216719897967"/>
          <c:w val="0.7715041972072727"/>
          <c:h val="0.61078539881310012"/>
        </c:manualLayout>
      </c:layout>
      <c:barChart>
        <c:barDir val="col"/>
        <c:grouping val="clustered"/>
        <c:varyColors val="0"/>
        <c:ser>
          <c:idx val="0"/>
          <c:order val="0"/>
          <c:tx>
            <c:strRef>
              <c:f>'Total funding for branch'!$B$3</c:f>
              <c:strCache>
                <c:ptCount val="1"/>
                <c:pt idx="0">
                  <c:v>Total</c:v>
                </c:pt>
              </c:strCache>
            </c:strRef>
          </c:tx>
          <c:spPr>
            <a:solidFill>
              <a:schemeClr val="accent1"/>
            </a:solidFill>
            <a:ln>
              <a:noFill/>
            </a:ln>
            <a:effectLst/>
          </c:spPr>
          <c:invertIfNegative val="0"/>
          <c:cat>
            <c:strRef>
              <c:f>'Total funding for branch'!$A$4:$A$9</c:f>
              <c:strCache>
                <c:ptCount val="5"/>
                <c:pt idx="0">
                  <c:v>عمان</c:v>
                </c:pt>
                <c:pt idx="1">
                  <c:v>الزرقاء</c:v>
                </c:pt>
                <c:pt idx="2">
                  <c:v>العقبة</c:v>
                </c:pt>
                <c:pt idx="3">
                  <c:v>إربد</c:v>
                </c:pt>
                <c:pt idx="4">
                  <c:v>الكرك</c:v>
                </c:pt>
              </c:strCache>
            </c:strRef>
          </c:cat>
          <c:val>
            <c:numRef>
              <c:f>'Total funding for branch'!$B$4:$B$9</c:f>
              <c:numCache>
                <c:formatCode>#,##0.00\ "JOD"</c:formatCode>
                <c:ptCount val="5"/>
                <c:pt idx="0">
                  <c:v>15000</c:v>
                </c:pt>
                <c:pt idx="1">
                  <c:v>12500</c:v>
                </c:pt>
                <c:pt idx="2">
                  <c:v>10000</c:v>
                </c:pt>
                <c:pt idx="3">
                  <c:v>9000</c:v>
                </c:pt>
                <c:pt idx="4">
                  <c:v>7500</c:v>
                </c:pt>
              </c:numCache>
            </c:numRef>
          </c:val>
          <c:extLst>
            <c:ext xmlns:c16="http://schemas.microsoft.com/office/drawing/2014/chart" uri="{C3380CC4-5D6E-409C-BE32-E72D297353CC}">
              <c16:uniqueId val="{00000000-7B13-469D-A1AD-44A2459036F0}"/>
            </c:ext>
          </c:extLst>
        </c:ser>
        <c:dLbls>
          <c:showLegendKey val="0"/>
          <c:showVal val="0"/>
          <c:showCatName val="0"/>
          <c:showSerName val="0"/>
          <c:showPercent val="0"/>
          <c:showBubbleSize val="0"/>
        </c:dLbls>
        <c:gapWidth val="219"/>
        <c:overlap val="-27"/>
        <c:axId val="940713320"/>
        <c:axId val="940709360"/>
      </c:barChart>
      <c:catAx>
        <c:axId val="94071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09360"/>
        <c:crosses val="autoZero"/>
        <c:auto val="1"/>
        <c:lblAlgn val="ctr"/>
        <c:lblOffset val="100"/>
        <c:noMultiLvlLbl val="0"/>
      </c:catAx>
      <c:valAx>
        <c:axId val="940709360"/>
        <c:scaling>
          <c:orientation val="minMax"/>
        </c:scaling>
        <c:delete val="0"/>
        <c:axPos val="l"/>
        <c:numFmt formatCode="#,##0.00\ &quot;JOD&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13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5760000" cy="36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527050</xdr:colOff>
      <xdr:row>1</xdr:row>
      <xdr:rowOff>47625</xdr:rowOff>
    </xdr:from>
    <xdr:to>
      <xdr:col>13</xdr:col>
      <xdr:colOff>222250</xdr:colOff>
      <xdr:row>16</xdr:row>
      <xdr:rowOff>28575</xdr:rowOff>
    </xdr:to>
    <xdr:graphicFrame macro="">
      <xdr:nvGraphicFramePr>
        <xdr:cNvPr id="2" name="Chart 1">
          <a:extLst>
            <a:ext uri="{FF2B5EF4-FFF2-40B4-BE49-F238E27FC236}">
              <a16:creationId xmlns:a16="http://schemas.microsoft.com/office/drawing/2014/main" id="{068D6820-8033-E5FD-3CB3-CA0715937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1</xdr:row>
      <xdr:rowOff>25400</xdr:rowOff>
    </xdr:from>
    <xdr:to>
      <xdr:col>10</xdr:col>
      <xdr:colOff>495300</xdr:colOff>
      <xdr:row>16</xdr:row>
      <xdr:rowOff>6350</xdr:rowOff>
    </xdr:to>
    <xdr:graphicFrame macro="">
      <xdr:nvGraphicFramePr>
        <xdr:cNvPr id="2" name="Chart 1">
          <a:extLst>
            <a:ext uri="{FF2B5EF4-FFF2-40B4-BE49-F238E27FC236}">
              <a16:creationId xmlns:a16="http://schemas.microsoft.com/office/drawing/2014/main" id="{CEF5D149-CCE7-E70C-54D4-3C5F2AEDD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282575</xdr:colOff>
      <xdr:row>0</xdr:row>
      <xdr:rowOff>152400</xdr:rowOff>
    </xdr:from>
    <xdr:to>
      <xdr:col>11</xdr:col>
      <xdr:colOff>587375</xdr:colOff>
      <xdr:row>15</xdr:row>
      <xdr:rowOff>133350</xdr:rowOff>
    </xdr:to>
    <xdr:graphicFrame macro="">
      <xdr:nvGraphicFramePr>
        <xdr:cNvPr id="2" name="Chart 1">
          <a:extLst>
            <a:ext uri="{FF2B5EF4-FFF2-40B4-BE49-F238E27FC236}">
              <a16:creationId xmlns:a16="http://schemas.microsoft.com/office/drawing/2014/main" id="{C43990BA-BA1D-0339-CD33-C795D8C4F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1238250</xdr:colOff>
      <xdr:row>10</xdr:row>
      <xdr:rowOff>95251</xdr:rowOff>
    </xdr:from>
    <xdr:to>
      <xdr:col>3</xdr:col>
      <xdr:colOff>412750</xdr:colOff>
      <xdr:row>19</xdr:row>
      <xdr:rowOff>19051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C367BDF5-AB58-FC0E-EF7F-5AABD0E312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52650" y="1936751"/>
              <a:ext cx="283845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133350</xdr:colOff>
      <xdr:row>1</xdr:row>
      <xdr:rowOff>88900</xdr:rowOff>
    </xdr:from>
    <xdr:to>
      <xdr:col>10</xdr:col>
      <xdr:colOff>438150</xdr:colOff>
      <xdr:row>16</xdr:row>
      <xdr:rowOff>69850</xdr:rowOff>
    </xdr:to>
    <xdr:graphicFrame macro="">
      <xdr:nvGraphicFramePr>
        <xdr:cNvPr id="2" name="Chart 1">
          <a:extLst>
            <a:ext uri="{FF2B5EF4-FFF2-40B4-BE49-F238E27FC236}">
              <a16:creationId xmlns:a16="http://schemas.microsoft.com/office/drawing/2014/main" id="{520973B5-C6EE-3497-E330-7581A492E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387350</xdr:colOff>
      <xdr:row>1</xdr:row>
      <xdr:rowOff>71821</xdr:rowOff>
    </xdr:from>
    <xdr:to>
      <xdr:col>8</xdr:col>
      <xdr:colOff>171450</xdr:colOff>
      <xdr:row>16</xdr:row>
      <xdr:rowOff>40071</xdr:rowOff>
    </xdr:to>
    <xdr:sp macro="" textlink="">
      <xdr:nvSpPr>
        <xdr:cNvPr id="2" name="Rectangle: Rounded Corners 1">
          <a:extLst>
            <a:ext uri="{FF2B5EF4-FFF2-40B4-BE49-F238E27FC236}">
              <a16:creationId xmlns:a16="http://schemas.microsoft.com/office/drawing/2014/main" id="{7A17F5D5-C1C7-037D-B8C1-731EE3108864}"/>
            </a:ext>
          </a:extLst>
        </xdr:cNvPr>
        <xdr:cNvSpPr/>
      </xdr:nvSpPr>
      <xdr:spPr>
        <a:xfrm>
          <a:off x="994979" y="257942"/>
          <a:ext cx="4037505" cy="27600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r>
            <a:rPr lang="en-US" b="1"/>
            <a:t>ما هو إجمالي حجم المحفظة التمويلية للشركة، وقديش إجمالي الرصيد المتبقي بذمّة العملاء؟</a:t>
          </a:r>
          <a:r>
            <a:rPr lang="en-US"/>
            <a:t> (لمعرفة حجم السيولة والالتزامات القائمة).</a:t>
          </a:r>
          <a:endParaRPr lang="ar-JO"/>
        </a:p>
        <a:p>
          <a:pPr lvl="0"/>
          <a:endParaRPr lang="en-US"/>
        </a:p>
        <a:p>
          <a:pPr lvl="0"/>
          <a:r>
            <a:rPr lang="en-US" b="1"/>
            <a:t>شو هي الفروع الأكثر نشاطاً والأعلى من حيث حجم التمويل المصروف؟</a:t>
          </a:r>
          <a:r>
            <a:rPr lang="en-US"/>
            <a:t> (مقارنة أداء الفروع زي عمان، إربد، الزرقاء، العقبة، الكرك).</a:t>
          </a:r>
          <a:endParaRPr lang="ar-JO"/>
        </a:p>
        <a:p>
          <a:pPr lvl="0"/>
          <a:endParaRPr lang="en-US"/>
        </a:p>
        <a:p>
          <a:pPr lvl="0"/>
          <a:r>
            <a:rPr lang="en-US" b="1"/>
            <a:t>كيف بتتوزع التمويلات حسب نوع المنتج أو البرنامج؟</a:t>
          </a:r>
          <a:r>
            <a:rPr lang="en-US"/>
            <a:t> (مثل القروض التجارية الصغيرة، التمويل النسائي، الزراعي، والمهني).</a:t>
          </a:r>
          <a:endParaRPr lang="ar-JO"/>
        </a:p>
        <a:p>
          <a:pPr lvl="0"/>
          <a:endParaRPr lang="en-US"/>
        </a:p>
        <a:p>
          <a:pPr lvl="0"/>
          <a:r>
            <a:rPr lang="en-US" b="1"/>
            <a:t>ما هي حالة سداد القروض (Active, Delayed, Defaulted, Completed)؟</a:t>
          </a:r>
          <a:r>
            <a:rPr lang="en-US"/>
            <a:t> وقديش نسبة القروض المتعثرة أو المتأخرة عن السداد مقارنة بالقروض النشطة؟</a:t>
          </a:r>
          <a:endParaRPr lang="ar-JO"/>
        </a:p>
        <a:p>
          <a:pPr lvl="0"/>
          <a:endParaRPr lang="en-US"/>
        </a:p>
        <a:p>
          <a:pPr lvl="0"/>
          <a:r>
            <a:rPr lang="en-US" b="1"/>
            <a:t>قديش متوسط مبلغ القرض الممنوح للعميل الواحد؟</a:t>
          </a:r>
          <a:r>
            <a:rPr lang="en-US"/>
            <a:t> وهل عم بنقدم تمويلات بأحجام متوازنة مع السياسة المالية للشركة؟</a:t>
          </a:r>
        </a:p>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240862</xdr:colOff>
      <xdr:row>2</xdr:row>
      <xdr:rowOff>98535</xdr:rowOff>
    </xdr:from>
    <xdr:to>
      <xdr:col>7</xdr:col>
      <xdr:colOff>600982</xdr:colOff>
      <xdr:row>7</xdr:row>
      <xdr:rowOff>158750</xdr:rowOff>
    </xdr:to>
    <xdr:sp macro="" textlink="">
      <xdr:nvSpPr>
        <xdr:cNvPr id="2" name="Rectangle: Rounded Corners 1">
          <a:extLst>
            <a:ext uri="{FF2B5EF4-FFF2-40B4-BE49-F238E27FC236}">
              <a16:creationId xmlns:a16="http://schemas.microsoft.com/office/drawing/2014/main" id="{99BCADEC-2609-215C-04F6-146EDB8B5986}"/>
            </a:ext>
          </a:extLst>
        </xdr:cNvPr>
        <xdr:cNvSpPr/>
      </xdr:nvSpPr>
      <xdr:spPr>
        <a:xfrm>
          <a:off x="1465505" y="461392"/>
          <a:ext cx="3421727" cy="967358"/>
        </a:xfrm>
        <a:prstGeom prst="roundRect">
          <a:avLst/>
        </a:prstGeom>
        <a:ln>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tx2"/>
              </a:solidFill>
              <a:effectLst/>
              <a:latin typeface="+mn-lt"/>
              <a:ea typeface="+mn-ea"/>
              <a:cs typeface="+mn-cs"/>
            </a:rPr>
            <a:t>Total Portfolio Funding</a:t>
          </a:r>
          <a:r>
            <a:rPr lang="ar-JO" sz="1400" b="1">
              <a:solidFill>
                <a:schemeClr val="tx2"/>
              </a:solidFill>
              <a:effectLst/>
              <a:latin typeface="+mn-lt"/>
              <a:ea typeface="+mn-ea"/>
              <a:cs typeface="+mn-cs"/>
            </a:rPr>
            <a:t> : </a:t>
          </a:r>
          <a:endParaRPr lang="en-US" sz="1400">
            <a:solidFill>
              <a:schemeClr val="tx2"/>
            </a:solidFill>
            <a:effectLst/>
          </a:endParaRPr>
        </a:p>
        <a:p>
          <a:pPr algn="l"/>
          <a:endParaRPr lang="en-US" sz="1400">
            <a:solidFill>
              <a:schemeClr val="tx2"/>
            </a:solidFill>
          </a:endParaRPr>
        </a:p>
      </xdr:txBody>
    </xdr:sp>
    <xdr:clientData/>
  </xdr:twoCellAnchor>
  <xdr:twoCellAnchor>
    <xdr:from>
      <xdr:col>4</xdr:col>
      <xdr:colOff>410013</xdr:colOff>
      <xdr:row>5</xdr:row>
      <xdr:rowOff>44576</xdr:rowOff>
    </xdr:from>
    <xdr:to>
      <xdr:col>7</xdr:col>
      <xdr:colOff>410015</xdr:colOff>
      <xdr:row>7</xdr:row>
      <xdr:rowOff>15288</xdr:rowOff>
    </xdr:to>
    <xdr:sp macro="" textlink="'Dashboard Summary'!B5">
      <xdr:nvSpPr>
        <xdr:cNvPr id="3" name="Rectangle: Rounded Corners 2">
          <a:extLst>
            <a:ext uri="{FF2B5EF4-FFF2-40B4-BE49-F238E27FC236}">
              <a16:creationId xmlns:a16="http://schemas.microsoft.com/office/drawing/2014/main" id="{4FC1ED81-36A6-1656-422E-5DD878A0DD76}"/>
            </a:ext>
          </a:extLst>
        </xdr:cNvPr>
        <xdr:cNvSpPr/>
      </xdr:nvSpPr>
      <xdr:spPr>
        <a:xfrm>
          <a:off x="2859299" y="951719"/>
          <a:ext cx="1836966" cy="33356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C7AFA0C-4BB8-4CA1-B956-208F08469780}" type="TxLink">
            <a:rPr lang="en-US" sz="1800" b="1" i="1" u="none" strike="noStrike">
              <a:solidFill>
                <a:schemeClr val="tx2"/>
              </a:solidFill>
              <a:latin typeface="Calibri"/>
              <a:ea typeface="Calibri"/>
              <a:cs typeface="Calibri"/>
            </a:rPr>
            <a:t>54,000.00 JOD</a:t>
          </a:fld>
          <a:endParaRPr lang="en-US" sz="1800" b="1" i="1">
            <a:solidFill>
              <a:schemeClr val="tx2"/>
            </a:solidFill>
          </a:endParaRPr>
        </a:p>
      </xdr:txBody>
    </xdr:sp>
    <xdr:clientData/>
  </xdr:twoCellAnchor>
  <xdr:twoCellAnchor>
    <xdr:from>
      <xdr:col>14</xdr:col>
      <xdr:colOff>14339</xdr:colOff>
      <xdr:row>3</xdr:row>
      <xdr:rowOff>51405</xdr:rowOff>
    </xdr:from>
    <xdr:to>
      <xdr:col>19</xdr:col>
      <xdr:colOff>331107</xdr:colOff>
      <xdr:row>8</xdr:row>
      <xdr:rowOff>117172</xdr:rowOff>
    </xdr:to>
    <xdr:sp macro="" textlink="">
      <xdr:nvSpPr>
        <xdr:cNvPr id="4" name="Rectangle: Rounded Corners 3">
          <a:extLst>
            <a:ext uri="{FF2B5EF4-FFF2-40B4-BE49-F238E27FC236}">
              <a16:creationId xmlns:a16="http://schemas.microsoft.com/office/drawing/2014/main" id="{1085D00A-D64F-622F-51E1-1761CDF73EB0}"/>
            </a:ext>
          </a:extLst>
        </xdr:cNvPr>
        <xdr:cNvSpPr/>
      </xdr:nvSpPr>
      <xdr:spPr>
        <a:xfrm>
          <a:off x="8608006" y="622905"/>
          <a:ext cx="3385934" cy="1018267"/>
        </a:xfrm>
        <a:prstGeom prst="roundRect">
          <a:avLst/>
        </a:prstGeom>
        <a:ln>
          <a:solidFill>
            <a:schemeClr val="tx2">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a:solidFill>
                <a:schemeClr val="tx2"/>
              </a:solidFill>
            </a:rPr>
            <a:t>Total remaining balance</a:t>
          </a:r>
          <a:r>
            <a:rPr lang="ar-JO" sz="1400" b="1">
              <a:solidFill>
                <a:schemeClr val="tx2"/>
              </a:solidFill>
            </a:rPr>
            <a:t> :</a:t>
          </a:r>
          <a:endParaRPr lang="en-US" sz="1400" b="1">
            <a:solidFill>
              <a:schemeClr val="tx2"/>
            </a:solidFill>
          </a:endParaRPr>
        </a:p>
      </xdr:txBody>
    </xdr:sp>
    <xdr:clientData/>
  </xdr:twoCellAnchor>
  <xdr:twoCellAnchor>
    <xdr:from>
      <xdr:col>16</xdr:col>
      <xdr:colOff>269021</xdr:colOff>
      <xdr:row>6</xdr:row>
      <xdr:rowOff>62134</xdr:rowOff>
    </xdr:from>
    <xdr:to>
      <xdr:col>19</xdr:col>
      <xdr:colOff>187854</xdr:colOff>
      <xdr:row>8</xdr:row>
      <xdr:rowOff>68570</xdr:rowOff>
    </xdr:to>
    <xdr:sp macro="" textlink="'Dashboard Summary'!B8">
      <xdr:nvSpPr>
        <xdr:cNvPr id="5" name="Rectangle: Rounded Corners 4">
          <a:extLst>
            <a:ext uri="{FF2B5EF4-FFF2-40B4-BE49-F238E27FC236}">
              <a16:creationId xmlns:a16="http://schemas.microsoft.com/office/drawing/2014/main" id="{F9F138F6-0516-CCEE-FE82-F8F1DD1AB8B1}"/>
            </a:ext>
          </a:extLst>
        </xdr:cNvPr>
        <xdr:cNvSpPr/>
      </xdr:nvSpPr>
      <xdr:spPr>
        <a:xfrm>
          <a:off x="10090354" y="1205134"/>
          <a:ext cx="1760333" cy="38743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222C2A95-0C25-46C5-8F92-C466B26E2E06}" type="TxLink">
            <a:rPr lang="en-US" sz="1800" b="1" i="1" u="none" strike="noStrike">
              <a:solidFill>
                <a:schemeClr val="tx2"/>
              </a:solidFill>
              <a:latin typeface="Calibri"/>
              <a:ea typeface="Calibri"/>
              <a:cs typeface="Calibri"/>
            </a:rPr>
            <a:t>36,500.00 JOD</a:t>
          </a:fld>
          <a:endParaRPr lang="en-US" sz="1800" b="1" i="1">
            <a:solidFill>
              <a:schemeClr val="tx2"/>
            </a:solidFill>
          </a:endParaRPr>
        </a:p>
      </xdr:txBody>
    </xdr:sp>
    <xdr:clientData/>
  </xdr:twoCellAnchor>
  <xdr:twoCellAnchor>
    <xdr:from>
      <xdr:col>27</xdr:col>
      <xdr:colOff>65547</xdr:colOff>
      <xdr:row>2</xdr:row>
      <xdr:rowOff>84666</xdr:rowOff>
    </xdr:from>
    <xdr:to>
      <xdr:col>32</xdr:col>
      <xdr:colOff>384925</xdr:colOff>
      <xdr:row>7</xdr:row>
      <xdr:rowOff>140452</xdr:rowOff>
    </xdr:to>
    <xdr:sp macro="" textlink="">
      <xdr:nvSpPr>
        <xdr:cNvPr id="6" name="Rectangle: Rounded Corners 5">
          <a:extLst>
            <a:ext uri="{FF2B5EF4-FFF2-40B4-BE49-F238E27FC236}">
              <a16:creationId xmlns:a16="http://schemas.microsoft.com/office/drawing/2014/main" id="{9BE1024B-7F3F-925C-9D1C-41E172FC6E9D}"/>
            </a:ext>
          </a:extLst>
        </xdr:cNvPr>
        <xdr:cNvSpPr/>
      </xdr:nvSpPr>
      <xdr:spPr>
        <a:xfrm>
          <a:off x="16639047" y="465666"/>
          <a:ext cx="3388545" cy="1008286"/>
        </a:xfrm>
        <a:prstGeom prst="roundRect">
          <a:avLst/>
        </a:prstGeom>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i="1">
              <a:solidFill>
                <a:schemeClr val="tx2"/>
              </a:solidFill>
            </a:rPr>
            <a:t>Total Loans</a:t>
          </a:r>
          <a:r>
            <a:rPr lang="ar-JO" sz="1400" b="1" i="1">
              <a:solidFill>
                <a:schemeClr val="tx2"/>
              </a:solidFill>
            </a:rPr>
            <a:t> :</a:t>
          </a:r>
          <a:endParaRPr lang="en-US" sz="1400" b="1" i="1">
            <a:solidFill>
              <a:schemeClr val="tx2"/>
            </a:solidFill>
          </a:endParaRPr>
        </a:p>
      </xdr:txBody>
    </xdr:sp>
    <xdr:clientData/>
  </xdr:twoCellAnchor>
  <xdr:twoCellAnchor>
    <xdr:from>
      <xdr:col>29</xdr:col>
      <xdr:colOff>220987</xdr:colOff>
      <xdr:row>4</xdr:row>
      <xdr:rowOff>135098</xdr:rowOff>
    </xdr:from>
    <xdr:to>
      <xdr:col>32</xdr:col>
      <xdr:colOff>128810</xdr:colOff>
      <xdr:row>7</xdr:row>
      <xdr:rowOff>36776</xdr:rowOff>
    </xdr:to>
    <xdr:sp macro="" textlink="Sheet3!B8">
      <xdr:nvSpPr>
        <xdr:cNvPr id="7" name="Rectangle: Rounded Corners 6">
          <a:extLst>
            <a:ext uri="{FF2B5EF4-FFF2-40B4-BE49-F238E27FC236}">
              <a16:creationId xmlns:a16="http://schemas.microsoft.com/office/drawing/2014/main" id="{7B2A5C5E-3CF9-18D2-A774-BD16DD0CC5DC}"/>
            </a:ext>
          </a:extLst>
        </xdr:cNvPr>
        <xdr:cNvSpPr/>
      </xdr:nvSpPr>
      <xdr:spPr>
        <a:xfrm>
          <a:off x="18022154" y="897098"/>
          <a:ext cx="1749323" cy="47317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75EF3DD-43B4-4AFC-8DA0-196C67C93623}" type="TxLink">
            <a:rPr lang="en-US" sz="1800" b="1" i="1" u="none" strike="noStrike">
              <a:solidFill>
                <a:schemeClr val="tx2"/>
              </a:solidFill>
              <a:latin typeface="Calibri"/>
              <a:ea typeface="Calibri"/>
              <a:cs typeface="Calibri"/>
            </a:rPr>
            <a:t>58,975.00 JOD</a:t>
          </a:fld>
          <a:endParaRPr lang="en-US" sz="1800" b="1" i="1">
            <a:solidFill>
              <a:schemeClr val="tx2"/>
            </a:solidFill>
          </a:endParaRPr>
        </a:p>
      </xdr:txBody>
    </xdr:sp>
    <xdr:clientData/>
  </xdr:twoCellAnchor>
  <xdr:twoCellAnchor>
    <xdr:from>
      <xdr:col>1</xdr:col>
      <xdr:colOff>146449</xdr:colOff>
      <xdr:row>12</xdr:row>
      <xdr:rowOff>157319</xdr:rowOff>
    </xdr:from>
    <xdr:to>
      <xdr:col>12</xdr:col>
      <xdr:colOff>149095</xdr:colOff>
      <xdr:row>33</xdr:row>
      <xdr:rowOff>144090</xdr:rowOff>
    </xdr:to>
    <xdr:graphicFrame macro="">
      <xdr:nvGraphicFramePr>
        <xdr:cNvPr id="10" name="Chart 9">
          <a:extLst>
            <a:ext uri="{FF2B5EF4-FFF2-40B4-BE49-F238E27FC236}">
              <a16:creationId xmlns:a16="http://schemas.microsoft.com/office/drawing/2014/main" id="{FC02CF89-A4DA-4AD2-8077-541B6497B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204872</xdr:colOff>
      <xdr:row>13</xdr:row>
      <xdr:rowOff>171621</xdr:rowOff>
    </xdr:from>
    <xdr:to>
      <xdr:col>34</xdr:col>
      <xdr:colOff>211792</xdr:colOff>
      <xdr:row>34</xdr:row>
      <xdr:rowOff>157369</xdr:rowOff>
    </xdr:to>
    <xdr:graphicFrame macro="">
      <xdr:nvGraphicFramePr>
        <xdr:cNvPr id="11" name="Chart 10">
          <a:extLst>
            <a:ext uri="{FF2B5EF4-FFF2-40B4-BE49-F238E27FC236}">
              <a16:creationId xmlns:a16="http://schemas.microsoft.com/office/drawing/2014/main" id="{2602B7F4-285A-4631-B1A2-8D0A67827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93382</xdr:colOff>
      <xdr:row>43</xdr:row>
      <xdr:rowOff>18678</xdr:rowOff>
    </xdr:from>
    <xdr:to>
      <xdr:col>27</xdr:col>
      <xdr:colOff>74705</xdr:colOff>
      <xdr:row>67</xdr:row>
      <xdr:rowOff>102029</xdr:rowOff>
    </xdr:to>
    <xdr:graphicFrame macro="">
      <xdr:nvGraphicFramePr>
        <xdr:cNvPr id="19" name="Chart 18">
          <a:extLst>
            <a:ext uri="{FF2B5EF4-FFF2-40B4-BE49-F238E27FC236}">
              <a16:creationId xmlns:a16="http://schemas.microsoft.com/office/drawing/2014/main" id="{744B9102-D0CE-42C4-BC11-F1C4F7878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74706</xdr:colOff>
      <xdr:row>31</xdr:row>
      <xdr:rowOff>171540</xdr:rowOff>
    </xdr:from>
    <xdr:to>
      <xdr:col>22</xdr:col>
      <xdr:colOff>168088</xdr:colOff>
      <xdr:row>42</xdr:row>
      <xdr:rowOff>67845</xdr:rowOff>
    </xdr:to>
    <mc:AlternateContent xmlns:mc="http://schemas.openxmlformats.org/markup-compatibility/2006">
      <mc:Choice xmlns:a14="http://schemas.microsoft.com/office/drawing/2010/main" Requires="a14">
        <xdr:graphicFrame macro="">
          <xdr:nvGraphicFramePr>
            <xdr:cNvPr id="20" name="Branch">
              <a:extLst>
                <a:ext uri="{FF2B5EF4-FFF2-40B4-BE49-F238E27FC236}">
                  <a16:creationId xmlns:a16="http://schemas.microsoft.com/office/drawing/2014/main" id="{AB3D05B6-C2BC-6CEC-87B9-CC42D0275C0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6205740" y="5601885"/>
              <a:ext cx="7450624" cy="1823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186765</xdr:colOff>
      <xdr:row>21</xdr:row>
      <xdr:rowOff>36503</xdr:rowOff>
    </xdr:from>
    <xdr:to>
      <xdr:col>23</xdr:col>
      <xdr:colOff>241165</xdr:colOff>
      <xdr:row>30</xdr:row>
      <xdr:rowOff>56029</xdr:rowOff>
    </xdr:to>
    <mc:AlternateContent xmlns:mc="http://schemas.openxmlformats.org/markup-compatibility/2006">
      <mc:Choice xmlns:a14="http://schemas.microsoft.com/office/drawing/2010/main" Requires="a14">
        <xdr:graphicFrame macro="">
          <xdr:nvGraphicFramePr>
            <xdr:cNvPr id="23" name="Status">
              <a:extLst>
                <a:ext uri="{FF2B5EF4-FFF2-40B4-BE49-F238E27FC236}">
                  <a16:creationId xmlns:a16="http://schemas.microsoft.com/office/drawing/2014/main" id="{1EB08627-0DBD-3547-A2C3-803C7C1E880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835731" y="3715124"/>
              <a:ext cx="2506813" cy="1596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93382</xdr:colOff>
      <xdr:row>21</xdr:row>
      <xdr:rowOff>47066</xdr:rowOff>
    </xdr:from>
    <xdr:to>
      <xdr:col>16</xdr:col>
      <xdr:colOff>317499</xdr:colOff>
      <xdr:row>30</xdr:row>
      <xdr:rowOff>93384</xdr:rowOff>
    </xdr:to>
    <mc:AlternateContent xmlns:mc="http://schemas.openxmlformats.org/markup-compatibility/2006">
      <mc:Choice xmlns:a14="http://schemas.microsoft.com/office/drawing/2010/main" Requires="a14">
        <xdr:graphicFrame macro="">
          <xdr:nvGraphicFramePr>
            <xdr:cNvPr id="24" name="Category 1">
              <a:extLst>
                <a:ext uri="{FF2B5EF4-FFF2-40B4-BE49-F238E27FC236}">
                  <a16:creationId xmlns:a16="http://schemas.microsoft.com/office/drawing/2014/main" id="{F616AD9C-B021-95FA-E81E-9FFA4D3747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50623" y="3725687"/>
              <a:ext cx="2676531" cy="1622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معاذ نور" refreshedDate="46312.816209375" createdVersion="8" refreshedVersion="8" minRefreshableVersion="3" recordCount="10" xr:uid="{F1D0415A-E7DE-402C-8CED-38253A7C05C6}">
  <cacheSource type="worksheet">
    <worksheetSource name="Table1"/>
  </cacheSource>
  <cacheFields count="14">
    <cacheField name="Loan ID" numFmtId="0">
      <sharedItems containsSemiMixedTypes="0" containsString="0" containsNumber="1" containsInteger="1" minValue="1001" maxValue="1010"/>
    </cacheField>
    <cacheField name="Client Name" numFmtId="0">
      <sharedItems/>
    </cacheField>
    <cacheField name="Branch" numFmtId="0">
      <sharedItems count="5">
        <s v="عمان"/>
        <s v="إربد"/>
        <s v="الزرقاء"/>
        <s v="العقبة"/>
        <s v="الكرك"/>
      </sharedItems>
    </cacheField>
    <cacheField name="Category" numFmtId="0">
      <sharedItems count="4">
        <s v="قرض تجاري صغير"/>
        <s v="تمويل نسائي"/>
        <s v="تمويل زراعي"/>
        <s v="تمويل مهني"/>
      </sharedItems>
    </cacheField>
    <cacheField name="Disbursed Date" numFmtId="164">
      <sharedItems containsSemiMixedTypes="0" containsNonDate="0" containsDate="1" containsString="0" minDate="2024-08-20T00:00:00" maxDate="2025-03-21T00:00:00"/>
    </cacheField>
    <cacheField name="Loan Amount (JOD)" numFmtId="165">
      <sharedItems containsSemiMixedTypes="0" containsString="0" containsNumber="1" containsInteger="1" minValue="2500" maxValue="10000"/>
    </cacheField>
    <cacheField name="Interest Rate" numFmtId="166">
      <sharedItems containsSemiMixedTypes="0" containsString="0" containsNumber="1" minValue="0.08" maxValue="0.1"/>
    </cacheField>
    <cacheField name="Interest rate (JOD)" numFmtId="165">
      <sharedItems containsSemiMixedTypes="0" containsString="0" containsNumber="1" containsInteger="1" minValue="200" maxValue="950"/>
    </cacheField>
    <cacheField name="Status" numFmtId="0">
      <sharedItems count="4">
        <s v="Active"/>
        <s v="Delayed"/>
        <s v="Completed"/>
        <s v="Defaulted"/>
      </sharedItems>
    </cacheField>
    <cacheField name="Monthly Installment" numFmtId="165">
      <sharedItems containsSemiMixedTypes="0" containsString="0" containsNumber="1" containsInteger="1" minValue="225" maxValue="900"/>
    </cacheField>
    <cacheField name="Remaining Balance" numFmtId="165">
      <sharedItems containsSemiMixedTypes="0" containsString="0" containsNumber="1" containsInteger="1" minValue="0" maxValue="6500"/>
    </cacheField>
    <cacheField name="Loan approval rate" numFmtId="165">
      <sharedItems containsSemiMixedTypes="0" containsString="0" containsNumber="1" containsInteger="1" minValue="2700" maxValue="10950"/>
    </cacheField>
    <cacheField name="Repayment ratio" numFmtId="9">
      <sharedItems containsSemiMixedTypes="0" containsString="0" containsNumber="1" minValue="0.10052910052910052" maxValue="1"/>
    </cacheField>
    <cacheField name="Company Average" numFmtId="165">
      <sharedItems containsSemiMixedTypes="0" containsString="0" containsNumber="1" containsInteger="1" minValue="5400" maxValue="5400"/>
    </cacheField>
  </cacheFields>
  <extLst>
    <ext xmlns:x14="http://schemas.microsoft.com/office/spreadsheetml/2009/9/main" uri="{725AE2AE-9491-48be-B2B4-4EB974FC3084}">
      <x14:pivotCacheDefinition pivotCacheId="1627935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أحمد محمود"/>
    <x v="0"/>
    <x v="0"/>
    <d v="2025-01-15T00:00:00"/>
    <n v="5000"/>
    <n v="0.09"/>
    <n v="450"/>
    <x v="0"/>
    <n v="450"/>
    <n v="3200"/>
    <n v="5450"/>
    <n v="0.41284403669724773"/>
    <n v="5400"/>
  </r>
  <r>
    <n v="1002"/>
    <s v="فاطمة علي"/>
    <x v="1"/>
    <x v="1"/>
    <d v="2025-02-10T00:00:00"/>
    <n v="3000"/>
    <n v="0.08"/>
    <n v="240"/>
    <x v="0"/>
    <n v="270"/>
    <n v="2100"/>
    <n v="3240"/>
    <n v="0.35185185185185186"/>
    <n v="5400"/>
  </r>
  <r>
    <n v="1003"/>
    <s v="خالد حسن"/>
    <x v="2"/>
    <x v="2"/>
    <d v="2024-11-05T00:00:00"/>
    <n v="8000"/>
    <n v="0.1"/>
    <n v="800"/>
    <x v="1"/>
    <n v="700"/>
    <n v="6500"/>
    <n v="8800"/>
    <n v="0.26136363636363635"/>
    <n v="5400"/>
  </r>
  <r>
    <n v="1004"/>
    <s v="سارة محمد"/>
    <x v="0"/>
    <x v="3"/>
    <d v="2025-03-01T00:00:00"/>
    <n v="4000"/>
    <n v="0.09"/>
    <n v="360"/>
    <x v="0"/>
    <n v="360"/>
    <n v="3800"/>
    <n v="4360"/>
    <n v="0.12844036697247707"/>
    <n v="5400"/>
  </r>
  <r>
    <n v="1005"/>
    <s v="عمر ابراهيم"/>
    <x v="3"/>
    <x v="0"/>
    <d v="2024-08-20T00:00:00"/>
    <n v="10000"/>
    <n v="9.5000000000000001E-2"/>
    <n v="950"/>
    <x v="2"/>
    <n v="900"/>
    <n v="0"/>
    <n v="10950"/>
    <n v="1"/>
    <n v="5400"/>
  </r>
  <r>
    <n v="1006"/>
    <s v="نور الدين"/>
    <x v="1"/>
    <x v="1"/>
    <d v="2025-03-12T00:00:00"/>
    <n v="2500"/>
    <n v="0.08"/>
    <n v="200"/>
    <x v="0"/>
    <n v="225"/>
    <n v="2400"/>
    <n v="2700"/>
    <n v="0.1111111111111111"/>
    <n v="5400"/>
  </r>
  <r>
    <n v="1007"/>
    <s v="يوسف أحمد"/>
    <x v="4"/>
    <x v="2"/>
    <d v="2024-10-10T00:00:00"/>
    <n v="7500"/>
    <n v="0.1"/>
    <n v="750"/>
    <x v="0"/>
    <n v="650"/>
    <n v="5200"/>
    <n v="8250"/>
    <n v="0.36969696969696969"/>
    <n v="5400"/>
  </r>
  <r>
    <n v="1008"/>
    <s v="ريم خالد"/>
    <x v="0"/>
    <x v="3"/>
    <d v="2025-01-05T00:00:00"/>
    <n v="6000"/>
    <n v="0.09"/>
    <n v="540"/>
    <x v="3"/>
    <n v="540"/>
    <n v="5800"/>
    <n v="6540"/>
    <n v="0.11314984709480122"/>
    <n v="5400"/>
  </r>
  <r>
    <n v="1009"/>
    <s v="طارق زيد"/>
    <x v="2"/>
    <x v="0"/>
    <d v="2025-02-18T00:00:00"/>
    <n v="4500"/>
    <n v="0.09"/>
    <n v="405"/>
    <x v="0"/>
    <n v="405"/>
    <n v="4100"/>
    <n v="4905"/>
    <n v="0.16411824668705402"/>
    <n v="5400"/>
  </r>
  <r>
    <n v="1010"/>
    <s v="بيان عبد الله"/>
    <x v="1"/>
    <x v="1"/>
    <d v="2025-03-20T00:00:00"/>
    <n v="3500"/>
    <n v="0.08"/>
    <n v="280"/>
    <x v="0"/>
    <n v="315"/>
    <n v="3400"/>
    <n v="3780"/>
    <n v="0.10052910052910052"/>
    <n v="5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DBA0F-AA7B-44CD-879D-BB3CC195B2B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showAll="0"/>
    <pivotField showAll="0">
      <items count="6">
        <item x="1"/>
        <item x="2"/>
        <item x="3"/>
        <item x="4"/>
        <item x="0"/>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dataField="1" numFmtId="165" showAll="0"/>
    <pivotField numFmtId="166" showAll="0"/>
    <pivotField numFmtId="165" showAll="0"/>
    <pivotField showAll="0">
      <items count="5">
        <item x="0"/>
        <item x="2"/>
        <item x="3"/>
        <item x="1"/>
        <item t="default"/>
      </items>
    </pivotField>
    <pivotField numFmtId="165" showAll="0"/>
    <pivotField numFmtId="165" showAll="0"/>
    <pivotField numFmtId="165" showAll="0"/>
    <pivotField numFmtId="9" showAll="0"/>
    <pivotField numFmtId="165" showAll="0"/>
  </pivotFields>
  <rowFields count="1">
    <field x="3"/>
  </rowFields>
  <rowItems count="5">
    <i>
      <x v="3"/>
    </i>
    <i>
      <x/>
    </i>
    <i>
      <x v="1"/>
    </i>
    <i>
      <x v="2"/>
    </i>
    <i t="grand">
      <x/>
    </i>
  </rowItems>
  <colItems count="1">
    <i/>
  </colItems>
  <dataFields count="1">
    <dataField name="Sum of Loan Amount (JOD)" fld="5" baseField="0" baseItem="0" numFmtId="165"/>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F2EBE9-3FE4-4E94-9CC1-629483F7805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showAll="0"/>
    <pivotField showAll="0">
      <items count="6">
        <item x="1"/>
        <item x="2"/>
        <item x="3"/>
        <item x="4"/>
        <item x="0"/>
        <item t="default"/>
      </items>
    </pivotField>
    <pivotField showAll="0">
      <items count="5">
        <item x="2"/>
        <item x="3"/>
        <item x="1"/>
        <item x="0"/>
        <item t="default"/>
      </items>
    </pivotField>
    <pivotField numFmtId="164" showAll="0"/>
    <pivotField numFmtId="165" showAll="0"/>
    <pivotField numFmtId="166" showAll="0"/>
    <pivotField numFmtId="165"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dataField="1" numFmtId="9" showAll="0"/>
    <pivotField numFmtId="165" showAll="0"/>
  </pivotFields>
  <rowFields count="1">
    <field x="8"/>
  </rowFields>
  <rowItems count="5">
    <i>
      <x/>
    </i>
    <i>
      <x v="1"/>
    </i>
    <i>
      <x v="3"/>
    </i>
    <i>
      <x v="2"/>
    </i>
    <i t="grand">
      <x/>
    </i>
  </rowItems>
  <colItems count="1">
    <i/>
  </colItems>
  <dataFields count="1">
    <dataField name="Sum of Repayment ratio" fld="12" baseField="0" baseItem="0" numFmtId="9"/>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2DAE88-9C34-4513-840E-7DD400D81C3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14">
    <pivotField showAll="0"/>
    <pivotField showAll="0"/>
    <pivotField showAll="0">
      <items count="6">
        <item x="1"/>
        <item x="2"/>
        <item x="3"/>
        <item x="4"/>
        <item x="0"/>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dataField="1" numFmtId="165" showAll="0"/>
    <pivotField numFmtId="166" showAll="0"/>
    <pivotField numFmtId="165" showAll="0"/>
    <pivotField showAll="0">
      <items count="5">
        <item x="0"/>
        <item x="2"/>
        <item x="3"/>
        <item x="1"/>
        <item t="default"/>
      </items>
    </pivotField>
    <pivotField numFmtId="165" showAll="0"/>
    <pivotField numFmtId="165" showAll="0"/>
    <pivotField numFmtId="165" showAll="0"/>
    <pivotField numFmtId="9" showAll="0"/>
    <pivotField dataField="1" numFmtId="165" showAll="0"/>
  </pivotFields>
  <rowFields count="1">
    <field x="3"/>
  </rowFields>
  <rowItems count="5">
    <i>
      <x/>
    </i>
    <i>
      <x v="3"/>
    </i>
    <i>
      <x v="1"/>
    </i>
    <i>
      <x v="2"/>
    </i>
    <i t="grand">
      <x/>
    </i>
  </rowItems>
  <colFields count="1">
    <field x="-2"/>
  </colFields>
  <colItems count="2">
    <i>
      <x/>
    </i>
    <i i="1">
      <x v="1"/>
    </i>
  </colItems>
  <dataFields count="2">
    <dataField name="Average of Loan Amount (JOD)" fld="5" subtotal="average" baseField="3" baseItem="0" numFmtId="165"/>
    <dataField name="Average of Company Average" fld="13" subtotal="average" baseField="3" baseItem="0" numFmtId="165"/>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1673BD-2364-4AA7-8569-A1047617782B}"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4">
    <pivotField showAll="0"/>
    <pivotField showAll="0"/>
    <pivotField showAll="0">
      <items count="6">
        <item x="1"/>
        <item x="2"/>
        <item x="3"/>
        <item x="4"/>
        <item x="0"/>
        <item t="default"/>
      </items>
    </pivotField>
    <pivotField axis="axisRow" showAll="0">
      <items count="5">
        <item x="2"/>
        <item x="3"/>
        <item x="1"/>
        <item x="0"/>
        <item t="default"/>
      </items>
    </pivotField>
    <pivotField numFmtId="164" showAll="0"/>
    <pivotField numFmtId="165" showAll="0"/>
    <pivotField numFmtId="166" showAll="0"/>
    <pivotField numFmtId="165" showAll="0"/>
    <pivotField showAll="0">
      <items count="5">
        <item x="0"/>
        <item x="2"/>
        <item x="3"/>
        <item x="1"/>
        <item t="default"/>
      </items>
    </pivotField>
    <pivotField numFmtId="165" showAll="0"/>
    <pivotField dataField="1" numFmtId="165" showAll="0"/>
    <pivotField dataField="1" numFmtId="165" showAll="0"/>
    <pivotField numFmtId="9" showAll="0"/>
    <pivotField numFmtId="165" showAll="0"/>
  </pivotFields>
  <rowFields count="1">
    <field x="3"/>
  </rowFields>
  <rowItems count="5">
    <i>
      <x/>
    </i>
    <i>
      <x v="1"/>
    </i>
    <i>
      <x v="2"/>
    </i>
    <i>
      <x v="3"/>
    </i>
    <i t="grand">
      <x/>
    </i>
  </rowItems>
  <colFields count="1">
    <field x="-2"/>
  </colFields>
  <colItems count="2">
    <i>
      <x/>
    </i>
    <i i="1">
      <x v="1"/>
    </i>
  </colItems>
  <dataFields count="2">
    <dataField name="Sum of Loan approval rate" fld="11" baseField="0" baseItem="0" numFmtId="165"/>
    <dataField name="Sum of Remaining Balanc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60F12A-753D-4A38-9021-4C9A3FEC2DF7}"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4">
    <pivotField showAll="0"/>
    <pivotField showAll="0"/>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numFmtId="164" showAll="0"/>
    <pivotField dataField="1" numFmtId="165" showAll="0"/>
    <pivotField numFmtId="166" showAll="0"/>
    <pivotField numFmtId="165" showAll="0"/>
    <pivotField showAll="0">
      <items count="5">
        <item x="0"/>
        <item x="2"/>
        <item x="3"/>
        <item x="1"/>
        <item t="default"/>
      </items>
    </pivotField>
    <pivotField numFmtId="165" showAll="0"/>
    <pivotField numFmtId="165" showAll="0"/>
    <pivotField numFmtId="165" showAll="0"/>
    <pivotField numFmtId="9" showAll="0"/>
    <pivotField numFmtId="165" showAll="0"/>
  </pivotFields>
  <rowFields count="1">
    <field x="2"/>
  </rowFields>
  <rowItems count="6">
    <i>
      <x v="4"/>
    </i>
    <i>
      <x v="1"/>
    </i>
    <i>
      <x v="2"/>
    </i>
    <i>
      <x/>
    </i>
    <i>
      <x v="3"/>
    </i>
    <i t="grand">
      <x/>
    </i>
  </rowItems>
  <colItems count="1">
    <i/>
  </colItems>
  <dataFields count="1">
    <dataField name="Sum of Loan Amount (JOD)" fld="5"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E8A9A11-8B35-4EC1-819E-552DEC3BF700}" sourceName="Branch">
  <pivotTables>
    <pivotTable tabId="10" name="PivotTable3"/>
    <pivotTable tabId="5" name="PivotTable1"/>
    <pivotTable tabId="7" name="PivotTable2"/>
    <pivotTable tabId="9" name="PivotTable2"/>
    <pivotTable tabId="8" name="PivotTable1"/>
  </pivotTables>
  <data>
    <tabular pivotCacheId="1627935807">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1E3BD1E-55A2-4BEF-933E-8FCF36579127}" sourceName="Category">
  <pivotTables>
    <pivotTable tabId="5" name="PivotTable1"/>
    <pivotTable tabId="7" name="PivotTable2"/>
    <pivotTable tabId="9" name="PivotTable2"/>
    <pivotTable tabId="8" name="PivotTable1"/>
    <pivotTable tabId="10" name="PivotTable3"/>
  </pivotTables>
  <data>
    <tabular pivotCacheId="1627935807">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26BEAB0-EBBA-44AF-8BB5-457867835377}" sourceName="Status">
  <pivotTables>
    <pivotTable tabId="7" name="PivotTable2"/>
    <pivotTable tabId="5" name="PivotTable1"/>
    <pivotTable tabId="9" name="PivotTable2"/>
    <pivotTable tabId="8" name="PivotTable1"/>
    <pivotTable tabId="10" name="PivotTable3"/>
  </pivotTables>
  <data>
    <tabular pivotCacheId="162793580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0C216F1-09FA-4077-BF60-E015F7FDA320}"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A0A2857-7C7D-484D-B7B3-9050E25EF603}" cache="Slicer_Branch" caption="Branch" rowHeight="241300"/>
  <slicer name="Category 1" xr10:uid="{BB8BD435-5E53-4849-B33F-FC8A679B3AEC}" cache="Slicer_Category1" caption="Category" rowHeight="241300"/>
  <slicer name="Status" xr10:uid="{8578AC94-1EE6-4EC3-B79F-EA04BE01679D}"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D358B6-8D2A-48FF-AA42-599669F016E3}" name="Table2" displayName="Table2" ref="A12:B17" totalsRowShown="0" headerRowDxfId="39" tableBorderDxfId="38">
  <autoFilter ref="A12:B17" xr:uid="{44D358B6-8D2A-48FF-AA42-599669F016E3}"/>
  <sortState xmlns:xlrd2="http://schemas.microsoft.com/office/spreadsheetml/2017/richdata2" ref="A13:B17">
    <sortCondition descending="1" ref="B12:B17"/>
  </sortState>
  <tableColumns count="2">
    <tableColumn id="1" xr3:uid="{3F9B3981-B9CA-4A3B-B7AA-7B3013FFBCDF}" name="الفرع" dataDxfId="37"/>
    <tableColumn id="2" xr3:uid="{A0E97684-E36E-41A5-BE27-471F32DA9315}" name="إجمالي التمويل" dataDxfId="36">
      <calculatedColumnFormula>SUMIF('Raw Data'!C$2:C$11, A13, 'Raw Data'!F$2:F$11)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0D18D6-E202-4E46-8D1F-4213D16B5B57}" name="Table3" displayName="Table3" ref="A4:B8" totalsRowShown="0" headerRowDxfId="35" tableBorderDxfId="34">
  <autoFilter ref="A4:B8" xr:uid="{4A0D18D6-E202-4E46-8D1F-4213D16B5B57}"/>
  <tableColumns count="2">
    <tableColumn id="1" xr3:uid="{E73CC6B8-E949-4B1A-ADD1-75E9CCF35CFD}" name="المؤشر" dataDxfId="33"/>
    <tableColumn id="2" xr3:uid="{76944A8F-B4C2-4A20-95B1-B60ABF2AFA7D}" name="القيمة" dataDxfId="3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7935C0-F3FE-497E-A42A-BCEB59E8183F}" name="Table1" displayName="Table1" ref="A1:N12" totalsRowCount="1" headerRowDxfId="31" dataDxfId="30" totalsRowDxfId="28" tableBorderDxfId="29">
  <autoFilter ref="A1:N11" xr:uid="{167935C0-F3FE-497E-A42A-BCEB59E8183F}"/>
  <tableColumns count="14">
    <tableColumn id="1" xr3:uid="{EDA79C4B-FB3F-4C51-8BB4-315C4673B4E2}" name="Loan ID" totalsRowLabel="Total" dataDxfId="27" totalsRowDxfId="12"/>
    <tableColumn id="2" xr3:uid="{F8E20793-C894-4F70-A996-C62723258D97}" name="Client Name" dataDxfId="26" totalsRowDxfId="11"/>
    <tableColumn id="3" xr3:uid="{76A19B8A-5D4A-4475-8222-566450C8F671}" name="Branch" dataDxfId="25" totalsRowDxfId="10"/>
    <tableColumn id="4" xr3:uid="{483D1CAF-4264-41E8-BF0F-4907223CD71C}" name="Category" dataDxfId="24" totalsRowDxfId="9"/>
    <tableColumn id="5" xr3:uid="{12EC2BF9-C895-44C8-8E52-DB4AB279CAFF}" name="Disbursed Date" dataDxfId="23" totalsRowDxfId="8"/>
    <tableColumn id="6" xr3:uid="{C02175DE-D1E4-4FB0-8167-94812EC4BC03}" name="Loan Amount (JOD)" totalsRowFunction="sum" dataDxfId="22" totalsRowDxfId="13"/>
    <tableColumn id="7" xr3:uid="{97F3DD69-65C5-4A14-9F6A-56748D78A1CD}" name="Interest Rate" dataDxfId="21" totalsRowDxfId="7"/>
    <tableColumn id="12" xr3:uid="{16AE0861-0B83-4914-A621-AF30C905419A}" name="Interest rate (JOD)" dataDxfId="20" totalsRowDxfId="6">
      <calculatedColumnFormula>F2*G2</calculatedColumnFormula>
    </tableColumn>
    <tableColumn id="8" xr3:uid="{8EF2C37C-FF00-432D-9AED-21DC03F1B93B}" name="Status" totalsRowFunction="count" dataDxfId="19" totalsRowDxfId="5"/>
    <tableColumn id="9" xr3:uid="{0976325B-B825-4AB6-B175-3D543DB4420F}" name="Monthly Installment" totalsRowFunction="sum" dataDxfId="18" totalsRowDxfId="0"/>
    <tableColumn id="10" xr3:uid="{D80A4853-466D-4650-82F4-932479E26F1F}" name="Remaining Balance" totalsRowFunction="sum" dataDxfId="17" totalsRowDxfId="4"/>
    <tableColumn id="11" xr3:uid="{7DBA289A-6C0B-4C45-9D2D-8D876D7FAEC8}" name="Loan approval rate" totalsRowFunction="sum" dataDxfId="16" totalsRowDxfId="3">
      <calculatedColumnFormula>F2+H2</calculatedColumnFormula>
    </tableColumn>
    <tableColumn id="13" xr3:uid="{5F75CE3C-F450-48F1-A1D3-BF78D7C02878}" name="Repayment ratio" dataDxfId="15" totalsRowDxfId="14" dataCellStyle="Percent">
      <calculatedColumnFormula>(L2 - K2) / L2</calculatedColumnFormula>
    </tableColumn>
    <tableColumn id="14" xr3:uid="{4885BA30-5EBC-4928-A75F-F1A9BF88664B}" name="Company Average" dataDxfId="1" totalsRowDxfId="2">
      <calculatedColumnFormula>AVERAGE($F$2:$F$11)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topLeftCell="A5" zoomScale="76" workbookViewId="0">
      <selection activeCell="B13" sqref="B13"/>
    </sheetView>
  </sheetViews>
  <sheetFormatPr defaultRowHeight="14.5"/>
  <cols>
    <col min="1" max="1" width="28" customWidth="1"/>
    <col min="2" max="2" width="22" customWidth="1"/>
    <col min="3" max="3" width="5" customWidth="1"/>
  </cols>
  <sheetData>
    <row r="1" spans="1:15" ht="18.5">
      <c r="A1" s="40" t="s">
        <v>0</v>
      </c>
      <c r="B1" s="40"/>
      <c r="C1" s="40"/>
      <c r="D1" s="40"/>
      <c r="E1" s="40"/>
      <c r="F1" s="40"/>
      <c r="G1" s="40"/>
    </row>
    <row r="2" spans="1:15">
      <c r="E2" s="41" t="s">
        <v>55</v>
      </c>
      <c r="F2" s="41"/>
      <c r="G2" s="41"/>
      <c r="H2" s="41"/>
      <c r="I2" s="41"/>
      <c r="J2" s="41"/>
      <c r="K2" s="41"/>
      <c r="L2" s="41"/>
      <c r="M2" s="41"/>
      <c r="N2" s="41"/>
      <c r="O2" s="41"/>
    </row>
    <row r="3" spans="1:15" ht="15.5">
      <c r="A3" s="1" t="s">
        <v>1</v>
      </c>
    </row>
    <row r="4" spans="1:15">
      <c r="A4" s="2" t="s">
        <v>2</v>
      </c>
      <c r="B4" s="2" t="s">
        <v>3</v>
      </c>
    </row>
    <row r="5" spans="1:15">
      <c r="A5" s="3" t="s">
        <v>4</v>
      </c>
      <c r="B5" s="4">
        <f>SUM('Raw Data'!F2:F11)</f>
        <v>54000</v>
      </c>
    </row>
    <row r="6" spans="1:15">
      <c r="A6" s="3" t="s">
        <v>5</v>
      </c>
      <c r="B6" s="5">
        <f>COUNTIF('Raw Data'!I2:I11, "Active")</f>
        <v>7</v>
      </c>
    </row>
    <row r="7" spans="1:15">
      <c r="A7" s="3" t="s">
        <v>6</v>
      </c>
      <c r="B7" s="4">
        <f>AVERAGE('Raw Data'!F2:F11)</f>
        <v>5400</v>
      </c>
    </row>
    <row r="8" spans="1:15">
      <c r="A8" s="16" t="s">
        <v>7</v>
      </c>
      <c r="B8" s="18">
        <f>SUM('Raw Data'!K2:K11)</f>
        <v>36500</v>
      </c>
    </row>
    <row r="11" spans="1:15" ht="15.5">
      <c r="A11" s="1" t="s">
        <v>8</v>
      </c>
    </row>
    <row r="12" spans="1:15">
      <c r="A12" s="2" t="s">
        <v>9</v>
      </c>
      <c r="B12" s="2" t="s">
        <v>10</v>
      </c>
    </row>
    <row r="13" spans="1:15">
      <c r="A13" s="3" t="s">
        <v>11</v>
      </c>
      <c r="B13" s="6">
        <f>SUMIF('Raw Data'!C$2:C$11, A13, 'Raw Data'!F$2:F$11)</f>
        <v>15000</v>
      </c>
    </row>
    <row r="14" spans="1:15">
      <c r="A14" s="3" t="s">
        <v>13</v>
      </c>
      <c r="B14" s="6">
        <f>SUMIF('Raw Data'!C$2:C$11, A14, 'Raw Data'!F$2:F$11)</f>
        <v>12500</v>
      </c>
    </row>
    <row r="15" spans="1:15">
      <c r="A15" s="3" t="s">
        <v>14</v>
      </c>
      <c r="B15" s="6">
        <f>SUMIF('Raw Data'!C$2:C$11, A15, 'Raw Data'!F$2:F$11)</f>
        <v>10000</v>
      </c>
    </row>
    <row r="16" spans="1:15">
      <c r="A16" s="3" t="s">
        <v>12</v>
      </c>
      <c r="B16" s="6">
        <f>SUMIF('Raw Data'!C$2:C$11, A16, 'Raw Data'!F$2:F$11)</f>
        <v>9000</v>
      </c>
    </row>
    <row r="17" spans="1:2">
      <c r="A17" s="16" t="s">
        <v>15</v>
      </c>
      <c r="B17" s="17">
        <f>SUMIF('Raw Data'!C$2:C$11, A17, 'Raw Data'!F$2:F$11)</f>
        <v>7500</v>
      </c>
    </row>
  </sheetData>
  <mergeCells count="2">
    <mergeCell ref="A1:G1"/>
    <mergeCell ref="E2:O2"/>
  </mergeCells>
  <pageMargins left="0.75" right="0.75" top="1" bottom="1" header="0.5" footer="0.5"/>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CCBBF-8830-49B6-9AEE-264A916E67E1}">
  <dimension ref="A3:C8"/>
  <sheetViews>
    <sheetView workbookViewId="0">
      <selection activeCell="B4" sqref="B4"/>
    </sheetView>
  </sheetViews>
  <sheetFormatPr defaultRowHeight="14.5"/>
  <cols>
    <col min="1" max="1" width="13.08984375" bestFit="1" customWidth="1"/>
    <col min="2" max="2" width="23.6328125" bestFit="1" customWidth="1"/>
    <col min="3" max="3" width="9.36328125" bestFit="1" customWidth="1"/>
  </cols>
  <sheetData>
    <row r="3" spans="1:3">
      <c r="A3" s="21" t="s">
        <v>45</v>
      </c>
      <c r="B3" t="s">
        <v>47</v>
      </c>
    </row>
    <row r="4" spans="1:3">
      <c r="A4" s="22" t="s">
        <v>27</v>
      </c>
      <c r="B4" s="23">
        <v>19500</v>
      </c>
      <c r="C4" s="37"/>
    </row>
    <row r="5" spans="1:3">
      <c r="A5" s="22" t="s">
        <v>32</v>
      </c>
      <c r="B5" s="23">
        <v>15500</v>
      </c>
    </row>
    <row r="6" spans="1:3">
      <c r="A6" s="22" t="s">
        <v>35</v>
      </c>
      <c r="B6" s="23">
        <v>10000</v>
      </c>
    </row>
    <row r="7" spans="1:3">
      <c r="A7" s="22" t="s">
        <v>30</v>
      </c>
      <c r="B7" s="23">
        <v>9000</v>
      </c>
    </row>
    <row r="8" spans="1:3">
      <c r="A8" s="22" t="s">
        <v>46</v>
      </c>
      <c r="B8" s="23">
        <v>54000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7741-92B6-4D8C-9C4C-8C8E48C3FF2A}">
  <dimension ref="A3:B8"/>
  <sheetViews>
    <sheetView workbookViewId="0">
      <selection activeCell="U27" sqref="U27"/>
    </sheetView>
  </sheetViews>
  <sheetFormatPr defaultRowHeight="14.5"/>
  <cols>
    <col min="1" max="1" width="12.36328125" bestFit="1" customWidth="1"/>
    <col min="2" max="2" width="21.36328125" bestFit="1" customWidth="1"/>
  </cols>
  <sheetData>
    <row r="3" spans="1:2">
      <c r="A3" s="21" t="s">
        <v>45</v>
      </c>
      <c r="B3" t="s">
        <v>51</v>
      </c>
    </row>
    <row r="4" spans="1:2">
      <c r="A4" s="22" t="s">
        <v>28</v>
      </c>
      <c r="B4" s="33">
        <v>1.6385916835458119</v>
      </c>
    </row>
    <row r="5" spans="1:2">
      <c r="A5" s="22" t="s">
        <v>37</v>
      </c>
      <c r="B5" s="33">
        <v>1</v>
      </c>
    </row>
    <row r="6" spans="1:2">
      <c r="A6" s="22" t="s">
        <v>33</v>
      </c>
      <c r="B6" s="33">
        <v>0.26136363636363635</v>
      </c>
    </row>
    <row r="7" spans="1:2">
      <c r="A7" s="22" t="s">
        <v>41</v>
      </c>
      <c r="B7" s="33">
        <v>0.11314984709480122</v>
      </c>
    </row>
    <row r="8" spans="1:2">
      <c r="A8" s="22" t="s">
        <v>46</v>
      </c>
      <c r="B8" s="33">
        <v>3.0131051670042495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FCD85-BBEC-4019-A5AB-0B16856428C8}">
  <dimension ref="A3:C8"/>
  <sheetViews>
    <sheetView workbookViewId="0">
      <selection activeCell="C3" sqref="C3:C8"/>
    </sheetView>
  </sheetViews>
  <sheetFormatPr defaultRowHeight="14.5"/>
  <cols>
    <col min="1" max="1" width="13.08984375" bestFit="1" customWidth="1"/>
    <col min="2" max="2" width="26.81640625" bestFit="1" customWidth="1"/>
    <col min="3" max="3" width="25.6328125" bestFit="1" customWidth="1"/>
  </cols>
  <sheetData>
    <row r="3" spans="1:3">
      <c r="A3" s="21" t="s">
        <v>45</v>
      </c>
      <c r="B3" t="s">
        <v>52</v>
      </c>
      <c r="C3" t="s">
        <v>54</v>
      </c>
    </row>
    <row r="4" spans="1:3">
      <c r="A4" s="22" t="s">
        <v>32</v>
      </c>
      <c r="B4" s="23">
        <v>7750</v>
      </c>
      <c r="C4" s="23">
        <v>5400</v>
      </c>
    </row>
    <row r="5" spans="1:3">
      <c r="A5" s="22" t="s">
        <v>27</v>
      </c>
      <c r="B5" s="23">
        <v>6500</v>
      </c>
      <c r="C5" s="23">
        <v>5400</v>
      </c>
    </row>
    <row r="6" spans="1:3">
      <c r="A6" s="22" t="s">
        <v>35</v>
      </c>
      <c r="B6" s="23">
        <v>5000</v>
      </c>
      <c r="C6" s="23">
        <v>5400</v>
      </c>
    </row>
    <row r="7" spans="1:3">
      <c r="A7" s="22" t="s">
        <v>30</v>
      </c>
      <c r="B7" s="23">
        <v>3000</v>
      </c>
      <c r="C7" s="23">
        <v>5400</v>
      </c>
    </row>
    <row r="8" spans="1:3">
      <c r="A8" s="22" t="s">
        <v>46</v>
      </c>
      <c r="B8" s="23">
        <v>5400</v>
      </c>
      <c r="C8" s="23">
        <v>5400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2ED64-773C-4746-9BC6-FC96B0170F21}">
  <dimension ref="A3:C8"/>
  <sheetViews>
    <sheetView workbookViewId="0">
      <selection activeCell="C8" sqref="C8"/>
    </sheetView>
  </sheetViews>
  <sheetFormatPr defaultRowHeight="14.5"/>
  <cols>
    <col min="1" max="1" width="13.08984375" bestFit="1" customWidth="1"/>
    <col min="2" max="2" width="23.08984375" bestFit="1" customWidth="1"/>
    <col min="3" max="3" width="23" bestFit="1" customWidth="1"/>
  </cols>
  <sheetData>
    <row r="3" spans="1:3">
      <c r="A3" s="21" t="s">
        <v>45</v>
      </c>
      <c r="B3" t="s">
        <v>57</v>
      </c>
      <c r="C3" t="s">
        <v>58</v>
      </c>
    </row>
    <row r="4" spans="1:3">
      <c r="A4" s="22" t="s">
        <v>32</v>
      </c>
      <c r="B4" s="23">
        <v>17050</v>
      </c>
      <c r="C4" s="23">
        <v>11700</v>
      </c>
    </row>
    <row r="5" spans="1:3">
      <c r="A5" s="22" t="s">
        <v>35</v>
      </c>
      <c r="B5" s="23">
        <v>10900</v>
      </c>
      <c r="C5" s="23">
        <v>9600</v>
      </c>
    </row>
    <row r="6" spans="1:3">
      <c r="A6" s="22" t="s">
        <v>30</v>
      </c>
      <c r="B6" s="23">
        <v>9720</v>
      </c>
      <c r="C6" s="23">
        <v>7900</v>
      </c>
    </row>
    <row r="7" spans="1:3">
      <c r="A7" s="22" t="s">
        <v>27</v>
      </c>
      <c r="B7" s="23">
        <v>21305</v>
      </c>
      <c r="C7" s="23">
        <v>7300</v>
      </c>
    </row>
    <row r="8" spans="1:3">
      <c r="A8" s="22" t="s">
        <v>46</v>
      </c>
      <c r="B8" s="23">
        <v>58975</v>
      </c>
      <c r="C8" s="23">
        <v>36500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F4D7-0550-4700-95C3-BAC79F6B42E6}">
  <dimension ref="A3:B9"/>
  <sheetViews>
    <sheetView workbookViewId="0">
      <selection activeCell="B6" sqref="A3:B9"/>
    </sheetView>
  </sheetViews>
  <sheetFormatPr defaultRowHeight="14.5"/>
  <cols>
    <col min="1" max="1" width="12.36328125" bestFit="1" customWidth="1"/>
    <col min="2" max="2" width="23.6328125" bestFit="1" customWidth="1"/>
  </cols>
  <sheetData>
    <row r="3" spans="1:2">
      <c r="A3" s="21" t="s">
        <v>45</v>
      </c>
      <c r="B3" t="s">
        <v>47</v>
      </c>
    </row>
    <row r="4" spans="1:2">
      <c r="A4" s="22" t="s">
        <v>11</v>
      </c>
      <c r="B4" s="23">
        <v>15000</v>
      </c>
    </row>
    <row r="5" spans="1:2">
      <c r="A5" s="22" t="s">
        <v>13</v>
      </c>
      <c r="B5" s="23">
        <v>12500</v>
      </c>
    </row>
    <row r="6" spans="1:2">
      <c r="A6" s="22" t="s">
        <v>14</v>
      </c>
      <c r="B6" s="23">
        <v>10000</v>
      </c>
    </row>
    <row r="7" spans="1:2">
      <c r="A7" s="22" t="s">
        <v>12</v>
      </c>
      <c r="B7" s="23">
        <v>9000</v>
      </c>
    </row>
    <row r="8" spans="1:2">
      <c r="A8" s="22" t="s">
        <v>15</v>
      </c>
      <c r="B8" s="23">
        <v>7500</v>
      </c>
    </row>
    <row r="9" spans="1:2">
      <c r="A9" s="22" t="s">
        <v>46</v>
      </c>
      <c r="B9" s="23">
        <v>54000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
  <sheetViews>
    <sheetView zoomScale="62" workbookViewId="0">
      <pane ySplit="1" topLeftCell="A2" activePane="bottomLeft" state="frozen"/>
      <selection pane="bottomLeft" activeCell="F7" sqref="A2:N11"/>
    </sheetView>
  </sheetViews>
  <sheetFormatPr defaultRowHeight="14.5"/>
  <cols>
    <col min="1" max="1" width="14.90625" bestFit="1" customWidth="1"/>
    <col min="2" max="2" width="18.54296875" bestFit="1" customWidth="1"/>
    <col min="3" max="3" width="14.453125" bestFit="1" customWidth="1"/>
    <col min="4" max="4" width="16.08984375" bestFit="1" customWidth="1"/>
    <col min="5" max="5" width="21.81640625" bestFit="1" customWidth="1"/>
    <col min="6" max="6" width="25.26953125" bestFit="1" customWidth="1"/>
    <col min="7" max="7" width="19.6328125" bestFit="1" customWidth="1"/>
    <col min="8" max="8" width="24.26953125" bestFit="1" customWidth="1"/>
    <col min="9" max="9" width="13.90625" bestFit="1" customWidth="1"/>
    <col min="10" max="10" width="26.36328125" bestFit="1" customWidth="1"/>
    <col min="11" max="11" width="24.7265625" bestFit="1" customWidth="1"/>
    <col min="12" max="12" width="25" bestFit="1" customWidth="1"/>
    <col min="13" max="13" width="23" bestFit="1" customWidth="1"/>
    <col min="14" max="14" width="24.1796875" style="23" bestFit="1" customWidth="1"/>
  </cols>
  <sheetData>
    <row r="1" spans="1:14">
      <c r="A1" s="7" t="s">
        <v>16</v>
      </c>
      <c r="B1" s="7" t="s">
        <v>17</v>
      </c>
      <c r="C1" s="7" t="s">
        <v>18</v>
      </c>
      <c r="D1" s="19" t="s">
        <v>19</v>
      </c>
      <c r="E1" s="19" t="s">
        <v>20</v>
      </c>
      <c r="F1" s="19" t="s">
        <v>21</v>
      </c>
      <c r="G1" s="19" t="s">
        <v>22</v>
      </c>
      <c r="H1" s="19" t="s">
        <v>49</v>
      </c>
      <c r="I1" s="7" t="s">
        <v>23</v>
      </c>
      <c r="J1" s="19" t="s">
        <v>24</v>
      </c>
      <c r="K1" s="19" t="s">
        <v>25</v>
      </c>
      <c r="L1" s="19" t="s">
        <v>48</v>
      </c>
      <c r="M1" s="19" t="s">
        <v>50</v>
      </c>
      <c r="N1" s="38" t="s">
        <v>53</v>
      </c>
    </row>
    <row r="2" spans="1:14">
      <c r="A2" s="8">
        <v>1001</v>
      </c>
      <c r="B2" s="8" t="s">
        <v>26</v>
      </c>
      <c r="C2" s="8" t="s">
        <v>11</v>
      </c>
      <c r="D2" s="8" t="s">
        <v>27</v>
      </c>
      <c r="E2" s="9">
        <v>45672</v>
      </c>
      <c r="F2" s="10">
        <v>5000</v>
      </c>
      <c r="G2" s="11">
        <v>0.09</v>
      </c>
      <c r="H2" s="26">
        <f t="shared" ref="H2:H11" si="0">F2*G2</f>
        <v>450</v>
      </c>
      <c r="I2" s="8" t="s">
        <v>28</v>
      </c>
      <c r="J2" s="10">
        <v>450</v>
      </c>
      <c r="K2" s="10">
        <v>3200</v>
      </c>
      <c r="L2" s="26">
        <f t="shared" ref="L2:L11" si="1">F2+H2</f>
        <v>5450</v>
      </c>
      <c r="M2" s="28">
        <f t="shared" ref="M2:M11" si="2">(L2 - K2) / L2</f>
        <v>0.41284403669724773</v>
      </c>
      <c r="N2" s="26">
        <f t="shared" ref="N2:N11" si="3">AVERAGE($F$2:$F$11)</f>
        <v>5400</v>
      </c>
    </row>
    <row r="3" spans="1:14">
      <c r="A3" s="8">
        <v>1002</v>
      </c>
      <c r="B3" s="8" t="s">
        <v>29</v>
      </c>
      <c r="C3" s="8" t="s">
        <v>12</v>
      </c>
      <c r="D3" s="8" t="s">
        <v>30</v>
      </c>
      <c r="E3" s="9">
        <v>45698</v>
      </c>
      <c r="F3" s="10">
        <v>3000</v>
      </c>
      <c r="G3" s="11">
        <v>0.08</v>
      </c>
      <c r="H3" s="25">
        <f t="shared" si="0"/>
        <v>240</v>
      </c>
      <c r="I3" s="8" t="s">
        <v>28</v>
      </c>
      <c r="J3" s="10">
        <v>270</v>
      </c>
      <c r="K3" s="10">
        <v>2100</v>
      </c>
      <c r="L3" s="25">
        <f t="shared" si="1"/>
        <v>3240</v>
      </c>
      <c r="M3" s="29">
        <f t="shared" si="2"/>
        <v>0.35185185185185186</v>
      </c>
      <c r="N3" s="25">
        <f t="shared" si="3"/>
        <v>5400</v>
      </c>
    </row>
    <row r="4" spans="1:14">
      <c r="A4" s="8">
        <v>1003</v>
      </c>
      <c r="B4" s="8" t="s">
        <v>31</v>
      </c>
      <c r="C4" s="8" t="s">
        <v>13</v>
      </c>
      <c r="D4" s="8" t="s">
        <v>32</v>
      </c>
      <c r="E4" s="9">
        <v>45601</v>
      </c>
      <c r="F4" s="10">
        <v>8000</v>
      </c>
      <c r="G4" s="11">
        <v>0.1</v>
      </c>
      <c r="H4" s="25">
        <f t="shared" si="0"/>
        <v>800</v>
      </c>
      <c r="I4" s="8" t="s">
        <v>33</v>
      </c>
      <c r="J4" s="10">
        <v>700</v>
      </c>
      <c r="K4" s="10">
        <v>6500</v>
      </c>
      <c r="L4" s="25">
        <f t="shared" si="1"/>
        <v>8800</v>
      </c>
      <c r="M4" s="29">
        <f t="shared" si="2"/>
        <v>0.26136363636363635</v>
      </c>
      <c r="N4" s="25">
        <f t="shared" si="3"/>
        <v>5400</v>
      </c>
    </row>
    <row r="5" spans="1:14">
      <c r="A5" s="8">
        <v>1004</v>
      </c>
      <c r="B5" s="8" t="s">
        <v>34</v>
      </c>
      <c r="C5" s="8" t="s">
        <v>11</v>
      </c>
      <c r="D5" s="8" t="s">
        <v>35</v>
      </c>
      <c r="E5" s="9">
        <v>45717</v>
      </c>
      <c r="F5" s="10">
        <v>4000</v>
      </c>
      <c r="G5" s="11">
        <v>0.09</v>
      </c>
      <c r="H5" s="25">
        <f t="shared" si="0"/>
        <v>360</v>
      </c>
      <c r="I5" s="8" t="s">
        <v>28</v>
      </c>
      <c r="J5" s="10">
        <v>360</v>
      </c>
      <c r="K5" s="10">
        <v>3800</v>
      </c>
      <c r="L5" s="25">
        <f t="shared" si="1"/>
        <v>4360</v>
      </c>
      <c r="M5" s="29">
        <f t="shared" si="2"/>
        <v>0.12844036697247707</v>
      </c>
      <c r="N5" s="25">
        <f t="shared" si="3"/>
        <v>5400</v>
      </c>
    </row>
    <row r="6" spans="1:14">
      <c r="A6" s="8">
        <v>1005</v>
      </c>
      <c r="B6" s="8" t="s">
        <v>36</v>
      </c>
      <c r="C6" s="8" t="s">
        <v>14</v>
      </c>
      <c r="D6" s="8" t="s">
        <v>27</v>
      </c>
      <c r="E6" s="9">
        <v>45524</v>
      </c>
      <c r="F6" s="10">
        <v>10000</v>
      </c>
      <c r="G6" s="11">
        <v>9.5000000000000001E-2</v>
      </c>
      <c r="H6" s="25">
        <f t="shared" si="0"/>
        <v>950</v>
      </c>
      <c r="I6" s="8" t="s">
        <v>37</v>
      </c>
      <c r="J6" s="10">
        <v>900</v>
      </c>
      <c r="K6" s="10">
        <v>0</v>
      </c>
      <c r="L6" s="25">
        <f t="shared" si="1"/>
        <v>10950</v>
      </c>
      <c r="M6" s="29">
        <f t="shared" si="2"/>
        <v>1</v>
      </c>
      <c r="N6" s="25">
        <f t="shared" si="3"/>
        <v>5400</v>
      </c>
    </row>
    <row r="7" spans="1:14">
      <c r="A7" s="8">
        <v>1006</v>
      </c>
      <c r="B7" s="8" t="s">
        <v>38</v>
      </c>
      <c r="C7" s="8" t="s">
        <v>12</v>
      </c>
      <c r="D7" s="8" t="s">
        <v>30</v>
      </c>
      <c r="E7" s="9">
        <v>45728</v>
      </c>
      <c r="F7" s="10">
        <v>2500</v>
      </c>
      <c r="G7" s="11">
        <v>0.08</v>
      </c>
      <c r="H7" s="25">
        <f t="shared" si="0"/>
        <v>200</v>
      </c>
      <c r="I7" s="8" t="s">
        <v>28</v>
      </c>
      <c r="J7" s="10">
        <v>225</v>
      </c>
      <c r="K7" s="10">
        <v>2400</v>
      </c>
      <c r="L7" s="25">
        <f t="shared" si="1"/>
        <v>2700</v>
      </c>
      <c r="M7" s="29">
        <f t="shared" si="2"/>
        <v>0.1111111111111111</v>
      </c>
      <c r="N7" s="25">
        <f t="shared" si="3"/>
        <v>5400</v>
      </c>
    </row>
    <row r="8" spans="1:14">
      <c r="A8" s="8">
        <v>1007</v>
      </c>
      <c r="B8" s="8" t="s">
        <v>39</v>
      </c>
      <c r="C8" s="8" t="s">
        <v>15</v>
      </c>
      <c r="D8" s="8" t="s">
        <v>32</v>
      </c>
      <c r="E8" s="9">
        <v>45575</v>
      </c>
      <c r="F8" s="10">
        <v>7500</v>
      </c>
      <c r="G8" s="11">
        <v>0.1</v>
      </c>
      <c r="H8" s="25">
        <f t="shared" si="0"/>
        <v>750</v>
      </c>
      <c r="I8" s="8" t="s">
        <v>28</v>
      </c>
      <c r="J8" s="10">
        <v>650</v>
      </c>
      <c r="K8" s="10">
        <v>5200</v>
      </c>
      <c r="L8" s="25">
        <f t="shared" si="1"/>
        <v>8250</v>
      </c>
      <c r="M8" s="29">
        <f t="shared" si="2"/>
        <v>0.36969696969696969</v>
      </c>
      <c r="N8" s="25">
        <f t="shared" si="3"/>
        <v>5400</v>
      </c>
    </row>
    <row r="9" spans="1:14">
      <c r="A9" s="8">
        <v>1008</v>
      </c>
      <c r="B9" s="8" t="s">
        <v>40</v>
      </c>
      <c r="C9" s="8" t="s">
        <v>11</v>
      </c>
      <c r="D9" s="8" t="s">
        <v>35</v>
      </c>
      <c r="E9" s="9">
        <v>45662</v>
      </c>
      <c r="F9" s="10">
        <v>6000</v>
      </c>
      <c r="G9" s="11">
        <v>0.09</v>
      </c>
      <c r="H9" s="25">
        <f t="shared" si="0"/>
        <v>540</v>
      </c>
      <c r="I9" s="24" t="s">
        <v>41</v>
      </c>
      <c r="J9" s="10">
        <v>540</v>
      </c>
      <c r="K9" s="10">
        <v>5800</v>
      </c>
      <c r="L9" s="25">
        <f t="shared" si="1"/>
        <v>6540</v>
      </c>
      <c r="M9" s="29">
        <f t="shared" si="2"/>
        <v>0.11314984709480122</v>
      </c>
      <c r="N9" s="25">
        <f t="shared" si="3"/>
        <v>5400</v>
      </c>
    </row>
    <row r="10" spans="1:14">
      <c r="A10" s="8">
        <v>1009</v>
      </c>
      <c r="B10" s="8" t="s">
        <v>42</v>
      </c>
      <c r="C10" s="8" t="s">
        <v>13</v>
      </c>
      <c r="D10" s="8" t="s">
        <v>27</v>
      </c>
      <c r="E10" s="9">
        <v>45706</v>
      </c>
      <c r="F10" s="10">
        <v>4500</v>
      </c>
      <c r="G10" s="11">
        <v>0.09</v>
      </c>
      <c r="H10" s="25">
        <f t="shared" si="0"/>
        <v>405</v>
      </c>
      <c r="I10" s="8" t="s">
        <v>28</v>
      </c>
      <c r="J10" s="10">
        <v>405</v>
      </c>
      <c r="K10" s="10">
        <v>4100</v>
      </c>
      <c r="L10" s="25">
        <f t="shared" si="1"/>
        <v>4905</v>
      </c>
      <c r="M10" s="29">
        <f t="shared" si="2"/>
        <v>0.16411824668705402</v>
      </c>
      <c r="N10" s="25">
        <f t="shared" si="3"/>
        <v>5400</v>
      </c>
    </row>
    <row r="11" spans="1:14">
      <c r="A11" s="12">
        <v>1010</v>
      </c>
      <c r="B11" s="12" t="s">
        <v>43</v>
      </c>
      <c r="C11" s="12" t="s">
        <v>12</v>
      </c>
      <c r="D11" s="12" t="s">
        <v>30</v>
      </c>
      <c r="E11" s="13">
        <v>45736</v>
      </c>
      <c r="F11" s="14">
        <v>3500</v>
      </c>
      <c r="G11" s="15">
        <v>0.08</v>
      </c>
      <c r="H11" s="27">
        <f t="shared" si="0"/>
        <v>280</v>
      </c>
      <c r="I11" s="12" t="s">
        <v>28</v>
      </c>
      <c r="J11" s="14">
        <v>315</v>
      </c>
      <c r="K11" s="14">
        <v>3400</v>
      </c>
      <c r="L11" s="27">
        <f t="shared" si="1"/>
        <v>3780</v>
      </c>
      <c r="M11" s="30">
        <f t="shared" si="2"/>
        <v>0.10052910052910052</v>
      </c>
      <c r="N11" s="27">
        <f t="shared" si="3"/>
        <v>5400</v>
      </c>
    </row>
    <row r="12" spans="1:14" s="32" customFormat="1">
      <c r="A12" s="34" t="s">
        <v>44</v>
      </c>
      <c r="B12" s="31"/>
      <c r="C12" s="31"/>
      <c r="D12" s="31"/>
      <c r="E12" s="31"/>
      <c r="F12" s="35">
        <f>SUBTOTAL(109,Table1[Loan Amount (JOD)])</f>
        <v>54000</v>
      </c>
      <c r="G12" s="31"/>
      <c r="H12" s="31"/>
      <c r="I12" s="36">
        <f>SUBTOTAL(103,Table1[Status])</f>
        <v>10</v>
      </c>
      <c r="J12" s="43">
        <f>SUBTOTAL(109,Table1[Monthly Installment])</f>
        <v>4815</v>
      </c>
      <c r="K12" s="35">
        <f>SUBTOTAL(109,Table1[Remaining Balance])</f>
        <v>36500</v>
      </c>
      <c r="L12" s="35">
        <f>SUBTOTAL(109,Table1[Loan approval rate])</f>
        <v>58975</v>
      </c>
      <c r="N12" s="39"/>
    </row>
    <row r="13" spans="1:14" ht="16.5">
      <c r="I13" s="20">
        <f>COUNTIF(I2:I11,"Active")</f>
        <v>7</v>
      </c>
    </row>
    <row r="24" spans="8:8">
      <c r="H24" s="23"/>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70FB3-97AD-4345-AE7C-BA150AB41F70}">
  <dimension ref="A1"/>
  <sheetViews>
    <sheetView topLeftCell="A2" zoomScale="116" workbookViewId="0">
      <selection activeCell="I14" sqref="I14"/>
    </sheetView>
  </sheetViews>
  <sheetFormatPr defaultRowHeight="1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8973-5C27-4018-A9FD-739817DFBF84}">
  <dimension ref="A1:AH2"/>
  <sheetViews>
    <sheetView showGridLines="0" tabSelected="1" zoomScale="29" zoomScaleNormal="49" workbookViewId="0">
      <selection activeCell="U27" sqref="U27"/>
    </sheetView>
  </sheetViews>
  <sheetFormatPr defaultRowHeight="14.5"/>
  <sheetData>
    <row r="1" spans="1:34">
      <c r="A1" s="42" t="s">
        <v>56</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row>
    <row r="2" spans="1:34">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row>
  </sheetData>
  <mergeCells count="1">
    <mergeCell ref="A1:A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1B3493D743AA49AC180D629C73C4D5" ma:contentTypeVersion="10" ma:contentTypeDescription="Create a new document." ma:contentTypeScope="" ma:versionID="e0aaf371bdc32319ddbf7f3b1b86af04">
  <xsd:schema xmlns:xsd="http://www.w3.org/2001/XMLSchema" xmlns:xs="http://www.w3.org/2001/XMLSchema" xmlns:p="http://schemas.microsoft.com/office/2006/metadata/properties" xmlns:ns3="cec233b6-205a-4ad2-b5e3-1ec202c67689" targetNamespace="http://schemas.microsoft.com/office/2006/metadata/properties" ma:root="true" ma:fieldsID="64ca44c15f2d91b50fb08f5d9eccfb19" ns3:_="">
    <xsd:import namespace="cec233b6-205a-4ad2-b5e3-1ec202c67689"/>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c233b6-205a-4ad2-b5e3-1ec202c676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ec233b6-205a-4ad2-b5e3-1ec202c67689" xsi:nil="true"/>
  </documentManagement>
</p:properties>
</file>

<file path=customXml/itemProps1.xml><?xml version="1.0" encoding="utf-8"?>
<ds:datastoreItem xmlns:ds="http://schemas.openxmlformats.org/officeDocument/2006/customXml" ds:itemID="{E8D56520-2396-4E24-A729-C3195E5B81B8}">
  <ds:schemaRefs>
    <ds:schemaRef ds:uri="http://schemas.microsoft.com/sharepoint/v3/contenttype/forms"/>
  </ds:schemaRefs>
</ds:datastoreItem>
</file>

<file path=customXml/itemProps2.xml><?xml version="1.0" encoding="utf-8"?>
<ds:datastoreItem xmlns:ds="http://schemas.openxmlformats.org/officeDocument/2006/customXml" ds:itemID="{08E1707B-3362-4981-B269-72B562D172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c233b6-205a-4ad2-b5e3-1ec202c676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0D5609-2D19-411C-946C-4C569DB5B6FE}">
  <ds:schemaRefs>
    <ds:schemaRef ds:uri="http://purl.org/dc/elements/1.1/"/>
    <ds:schemaRef ds:uri="http://schemas.microsoft.com/office/2006/metadata/properties"/>
    <ds:schemaRef ds:uri="cec233b6-205a-4ad2-b5e3-1ec202c6768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Summary</vt:lpstr>
      <vt:lpstr>Category&amp;Loan Amount</vt:lpstr>
      <vt:lpstr>repayment ratios of Categorys</vt:lpstr>
      <vt:lpstr>Total AVERAGE OF LOAN </vt:lpstr>
      <vt:lpstr>Sheet3</vt:lpstr>
      <vt:lpstr>Total funding for branch</vt:lpstr>
      <vt:lpstr>Raw Data</vt:lpstr>
      <vt:lpstr>QQ</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معاذ عمر فؤاد نور</cp:lastModifiedBy>
  <dcterms:created xsi:type="dcterms:W3CDTF">2026-10-16T13:18:29Z</dcterms:created>
  <dcterms:modified xsi:type="dcterms:W3CDTF">2026-10-17T18:28:06Z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0x0101003C1B3493D743AA49AC180D629C73C4D5</vt:lpwstr>
  </property>
</Properties>
</file>